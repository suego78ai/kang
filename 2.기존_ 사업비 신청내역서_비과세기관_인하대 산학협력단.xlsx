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defaultThemeVersion="124226"/>
  <mc:AlternateContent xmlns:mc="http://schemas.openxmlformats.org/markup-compatibility/2006">
    <mc:Choice Requires="x15">
      <x15ac:absPath xmlns:x15ac="http://schemas.microsoft.com/office/spreadsheetml/2010/11/ac" url="C:\Users\suego\Desktop\"/>
    </mc:Choice>
  </mc:AlternateContent>
  <xr:revisionPtr revIDLastSave="0" documentId="13_ncr:1_{62A1ED7A-2C84-44C8-9D0B-2D702A21C9E2}" xr6:coauthVersionLast="47" xr6:coauthVersionMax="47" xr10:uidLastSave="{00000000-0000-0000-0000-000000000000}"/>
  <bookViews>
    <workbookView xWindow="28692" yWindow="-108" windowWidth="29016" windowHeight="15696" tabRatio="990" firstSheet="3" activeTab="14" xr2:uid="{00000000-000D-0000-FFFF-FFFF00000000}"/>
  </bookViews>
  <sheets>
    <sheet name="(총괄)신청내역표" sheetId="10" r:id="rId1"/>
    <sheet name="(공통)_강사료 지급 기준 및 명단" sheetId="26" r:id="rId2"/>
    <sheet name="(공통)_교육 인프라 목록" sheetId="27" r:id="rId3"/>
    <sheet name="사업운영비 작성방법(작성x)" sheetId="22" r:id="rId4"/>
    <sheet name="사업관리비 및 간접비 작성방법(작성x)" sheetId="39" r:id="rId5"/>
    <sheet name="A프로그램" sheetId="53" r:id="rId6"/>
    <sheet name="B프로그램" sheetId="64" r:id="rId7"/>
    <sheet name="C프로그램" sheetId="65" r:id="rId8"/>
    <sheet name="D프로그램" sheetId="66" r:id="rId9"/>
    <sheet name="E프로그램" sheetId="67" r:id="rId10"/>
    <sheet name="F프로그램" sheetId="68" r:id="rId11"/>
    <sheet name="G프로그램" sheetId="69" r:id="rId12"/>
    <sheet name="총 사업비 산출" sheetId="52" r:id="rId13"/>
    <sheet name="8억기준" sheetId="70" r:id="rId14"/>
    <sheet name="8억기준_산단제출용" sheetId="71" r:id="rId15"/>
  </sheets>
  <definedNames>
    <definedName name="_xlnm.Print_Area" localSheetId="2">'(공통)_교육 인프라 목록'!$A$1:$X$13</definedName>
    <definedName name="_xlnm.Print_Area" localSheetId="0">'(총괄)신청내역표'!$A$1:$W$17</definedName>
    <definedName name="_xlnm.Print_Area" localSheetId="5">A프로그램!$A$1:$O$37</definedName>
    <definedName name="_xlnm.Print_Area" localSheetId="6">B프로그램!$A$1:$O$36</definedName>
    <definedName name="_xlnm.Print_Area" localSheetId="7">C프로그램!$A$1:$O$36</definedName>
    <definedName name="_xlnm.Print_Area" localSheetId="8">D프로그램!$A$1:$O$36</definedName>
    <definedName name="_xlnm.Print_Area" localSheetId="9">E프로그램!$A$1:$O$36</definedName>
    <definedName name="_xlnm.Print_Area" localSheetId="10">F프로그램!$A$1:$O$36</definedName>
    <definedName name="_xlnm.Print_Area" localSheetId="11">G프로그램!$A$1:$O$37</definedName>
    <definedName name="_xlnm.Print_Area" localSheetId="4">'사업관리비 및 간접비 작성방법(작성x)'!$A$1:$O$38</definedName>
    <definedName name="_xlnm.Print_Area" localSheetId="3">'사업운영비 작성방법(작성x)'!$A$1:$O$29</definedName>
    <definedName name="_xlnm.Print_Area" localSheetId="12">'총 사업비 산출'!$A$1:$O$56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54" i="71" l="1"/>
  <c r="N53" i="71"/>
  <c r="N52" i="71"/>
  <c r="N51" i="71"/>
  <c r="N50" i="71"/>
  <c r="N49" i="71"/>
  <c r="N55" i="71" s="1"/>
  <c r="N46" i="71"/>
  <c r="N45" i="71"/>
  <c r="N44" i="71"/>
  <c r="N43" i="71"/>
  <c r="N42" i="71"/>
  <c r="N41" i="71"/>
  <c r="N40" i="71"/>
  <c r="N39" i="71"/>
  <c r="N38" i="71"/>
  <c r="N37" i="71"/>
  <c r="N47" i="71" s="1"/>
  <c r="N36" i="71"/>
  <c r="N35" i="71"/>
  <c r="N34" i="71"/>
  <c r="N32" i="71"/>
  <c r="N31" i="71"/>
  <c r="N30" i="71"/>
  <c r="N29" i="71"/>
  <c r="N28" i="71"/>
  <c r="N27" i="71"/>
  <c r="N26" i="71"/>
  <c r="N25" i="71"/>
  <c r="N24" i="71"/>
  <c r="N23" i="71"/>
  <c r="N22" i="71"/>
  <c r="N21" i="71"/>
  <c r="N20" i="71"/>
  <c r="N19" i="71"/>
  <c r="N18" i="71"/>
  <c r="N17" i="71"/>
  <c r="N16" i="71"/>
  <c r="N15" i="71"/>
  <c r="N14" i="71"/>
  <c r="N13" i="71"/>
  <c r="N12" i="71"/>
  <c r="N11" i="71"/>
  <c r="N10" i="71"/>
  <c r="N9" i="71"/>
  <c r="N8" i="71"/>
  <c r="N7" i="71"/>
  <c r="N6" i="71"/>
  <c r="N33" i="71" s="1"/>
  <c r="N5" i="71"/>
  <c r="N54" i="70"/>
  <c r="N53" i="70"/>
  <c r="N52" i="70"/>
  <c r="N51" i="70"/>
  <c r="N50" i="70"/>
  <c r="N49" i="70"/>
  <c r="N46" i="70"/>
  <c r="N45" i="70"/>
  <c r="N44" i="70"/>
  <c r="N43" i="70"/>
  <c r="N42" i="70"/>
  <c r="N41" i="70"/>
  <c r="N40" i="70"/>
  <c r="N39" i="70"/>
  <c r="N38" i="70"/>
  <c r="N37" i="70"/>
  <c r="N36" i="70"/>
  <c r="N35" i="70"/>
  <c r="N34" i="70"/>
  <c r="N32" i="70"/>
  <c r="N31" i="70"/>
  <c r="N30" i="70"/>
  <c r="N29" i="70"/>
  <c r="N28" i="70"/>
  <c r="N27" i="70"/>
  <c r="N26" i="70"/>
  <c r="N25" i="70"/>
  <c r="N24" i="70"/>
  <c r="N23" i="70"/>
  <c r="N22" i="70"/>
  <c r="N21" i="70"/>
  <c r="N20" i="70"/>
  <c r="N19" i="70"/>
  <c r="N18" i="70"/>
  <c r="N17" i="70"/>
  <c r="N16" i="70"/>
  <c r="N15" i="70"/>
  <c r="N14" i="70"/>
  <c r="N13" i="70"/>
  <c r="N12" i="70"/>
  <c r="N11" i="70"/>
  <c r="N10" i="70"/>
  <c r="N9" i="70"/>
  <c r="N8" i="70"/>
  <c r="N7" i="70"/>
  <c r="N6" i="70"/>
  <c r="N5" i="70"/>
  <c r="T13" i="53"/>
  <c r="T12" i="53"/>
  <c r="O5" i="52"/>
  <c r="O34" i="52"/>
  <c r="N39" i="52"/>
  <c r="N48" i="71" l="1"/>
  <c r="N56" i="71" s="1"/>
  <c r="O34" i="71"/>
  <c r="O49" i="71"/>
  <c r="N33" i="70"/>
  <c r="N55" i="70"/>
  <c r="N47" i="70"/>
  <c r="N5" i="53"/>
  <c r="O5" i="71" l="1"/>
  <c r="N48" i="70"/>
  <c r="N56" i="70" s="1"/>
  <c r="Q16" i="10"/>
  <c r="Q15" i="10"/>
  <c r="Q14" i="10"/>
  <c r="Q13" i="10"/>
  <c r="Q12" i="10"/>
  <c r="Q11" i="10"/>
  <c r="N19" i="64"/>
  <c r="N19" i="65"/>
  <c r="N19" i="66"/>
  <c r="N19" i="67"/>
  <c r="N19" i="68"/>
  <c r="N18" i="64"/>
  <c r="N18" i="66"/>
  <c r="N18" i="67"/>
  <c r="N18" i="68"/>
  <c r="N19" i="69"/>
  <c r="N24" i="52"/>
  <c r="N23" i="52"/>
  <c r="N21" i="52"/>
  <c r="N20" i="52"/>
  <c r="N19" i="52"/>
  <c r="O5" i="70" l="1"/>
  <c r="O34" i="70"/>
  <c r="O49" i="70"/>
  <c r="N22" i="69"/>
  <c r="N21" i="68"/>
  <c r="N21" i="67"/>
  <c r="N21" i="66"/>
  <c r="N21" i="65"/>
  <c r="N21" i="64"/>
  <c r="N15" i="69"/>
  <c r="N14" i="68"/>
  <c r="N14" i="67"/>
  <c r="N14" i="66"/>
  <c r="N14" i="65"/>
  <c r="N14" i="64"/>
  <c r="N14" i="53"/>
  <c r="N6" i="67"/>
  <c r="N7" i="68"/>
  <c r="N8" i="69"/>
  <c r="N7" i="69"/>
  <c r="N6" i="68"/>
  <c r="N6" i="53"/>
  <c r="N6" i="69"/>
  <c r="N25" i="52" l="1"/>
  <c r="N26" i="52"/>
  <c r="N27" i="52"/>
  <c r="N28" i="52"/>
  <c r="N29" i="52"/>
  <c r="N9" i="52"/>
  <c r="N8" i="52"/>
  <c r="N7" i="52"/>
  <c r="N6" i="52"/>
  <c r="I243" i="26" l="1"/>
  <c r="H243" i="26"/>
  <c r="G243" i="26"/>
  <c r="F243" i="26"/>
  <c r="E243" i="26"/>
  <c r="D243" i="26"/>
  <c r="C243" i="26"/>
  <c r="J242" i="26"/>
  <c r="J241" i="26"/>
  <c r="J240" i="26"/>
  <c r="J239" i="26"/>
  <c r="R235" i="26"/>
  <c r="J243" i="26" l="1"/>
  <c r="N46" i="52" l="1"/>
  <c r="N45" i="52"/>
  <c r="N44" i="52"/>
  <c r="T10" i="10" s="1"/>
  <c r="N43" i="52"/>
  <c r="N42" i="52"/>
  <c r="N41" i="52"/>
  <c r="N40" i="52"/>
  <c r="N38" i="52"/>
  <c r="N37" i="52"/>
  <c r="N36" i="52"/>
  <c r="N35" i="52"/>
  <c r="N34" i="52"/>
  <c r="R10" i="10" s="1"/>
  <c r="S10" i="10" l="1"/>
  <c r="U10" i="10"/>
  <c r="N12" i="52"/>
  <c r="N13" i="52"/>
  <c r="N11" i="52"/>
  <c r="N16" i="52"/>
  <c r="N15" i="52"/>
  <c r="N14" i="52"/>
  <c r="N10" i="39" l="1"/>
  <c r="N13" i="39"/>
  <c r="N32" i="52" l="1"/>
  <c r="N31" i="52"/>
  <c r="N30" i="52"/>
  <c r="N22" i="52"/>
  <c r="N18" i="52"/>
  <c r="N17" i="52"/>
  <c r="N10" i="52"/>
  <c r="N5" i="52"/>
  <c r="N26" i="69"/>
  <c r="N25" i="69"/>
  <c r="N24" i="69"/>
  <c r="N23" i="69"/>
  <c r="N21" i="69"/>
  <c r="N20" i="69"/>
  <c r="N18" i="69"/>
  <c r="N17" i="69"/>
  <c r="N16" i="69"/>
  <c r="N14" i="69"/>
  <c r="N13" i="69"/>
  <c r="N12" i="69"/>
  <c r="N11" i="69"/>
  <c r="N10" i="69"/>
  <c r="N9" i="69"/>
  <c r="N5" i="69"/>
  <c r="M16" i="10" s="1"/>
  <c r="N25" i="68"/>
  <c r="N24" i="68"/>
  <c r="N23" i="68"/>
  <c r="N22" i="68"/>
  <c r="N20" i="68"/>
  <c r="N17" i="68"/>
  <c r="N16" i="68"/>
  <c r="N15" i="68"/>
  <c r="N13" i="68"/>
  <c r="N12" i="68"/>
  <c r="N11" i="68"/>
  <c r="N10" i="68"/>
  <c r="N9" i="68"/>
  <c r="N8" i="68"/>
  <c r="N5" i="68"/>
  <c r="M15" i="10" s="1"/>
  <c r="N25" i="67"/>
  <c r="N24" i="67"/>
  <c r="N23" i="67"/>
  <c r="N22" i="67"/>
  <c r="N20" i="67"/>
  <c r="N17" i="67"/>
  <c r="N16" i="67"/>
  <c r="P14" i="10" s="1"/>
  <c r="N15" i="67"/>
  <c r="N13" i="67"/>
  <c r="N12" i="67"/>
  <c r="N11" i="67"/>
  <c r="N10" i="67"/>
  <c r="N9" i="67"/>
  <c r="N14" i="10" s="1"/>
  <c r="N8" i="67"/>
  <c r="N7" i="67"/>
  <c r="N5" i="67"/>
  <c r="M14" i="10" s="1"/>
  <c r="N25" i="66"/>
  <c r="N24" i="66"/>
  <c r="N23" i="66"/>
  <c r="N22" i="66"/>
  <c r="N20" i="66"/>
  <c r="N17" i="66"/>
  <c r="N16" i="66"/>
  <c r="P13" i="10" s="1"/>
  <c r="N15" i="66"/>
  <c r="N13" i="66"/>
  <c r="N12" i="66"/>
  <c r="N11" i="66"/>
  <c r="N10" i="66"/>
  <c r="N9" i="66"/>
  <c r="N8" i="66"/>
  <c r="N7" i="66"/>
  <c r="N6" i="66"/>
  <c r="N5" i="66"/>
  <c r="M13" i="10" s="1"/>
  <c r="N18" i="65"/>
  <c r="N25" i="65"/>
  <c r="N24" i="65"/>
  <c r="N23" i="65"/>
  <c r="N22" i="65"/>
  <c r="N20" i="65"/>
  <c r="N17" i="65"/>
  <c r="N16" i="65"/>
  <c r="P12" i="10" s="1"/>
  <c r="N15" i="65"/>
  <c r="N13" i="65"/>
  <c r="N12" i="65"/>
  <c r="N11" i="65"/>
  <c r="N10" i="65"/>
  <c r="N9" i="65"/>
  <c r="N8" i="65"/>
  <c r="N7" i="65"/>
  <c r="N6" i="65"/>
  <c r="N5" i="65"/>
  <c r="M12" i="10" s="1"/>
  <c r="N25" i="64"/>
  <c r="N24" i="64"/>
  <c r="N23" i="64"/>
  <c r="N22" i="64"/>
  <c r="N20" i="64"/>
  <c r="N17" i="64"/>
  <c r="N16" i="64"/>
  <c r="N15" i="64"/>
  <c r="N13" i="64"/>
  <c r="N12" i="64"/>
  <c r="N11" i="64"/>
  <c r="N10" i="64"/>
  <c r="N9" i="64"/>
  <c r="N8" i="64"/>
  <c r="N7" i="64"/>
  <c r="N6" i="64"/>
  <c r="N5" i="64"/>
  <c r="M11" i="10" s="1"/>
  <c r="P11" i="10" l="1"/>
  <c r="N33" i="52"/>
  <c r="P16" i="10"/>
  <c r="P15" i="10"/>
  <c r="N12" i="10"/>
  <c r="N16" i="10"/>
  <c r="N13" i="10"/>
  <c r="N26" i="65"/>
  <c r="N15" i="10"/>
  <c r="N26" i="64"/>
  <c r="N11" i="10"/>
  <c r="N27" i="69"/>
  <c r="F16" i="10" s="1"/>
  <c r="J16" i="10" s="1"/>
  <c r="L16" i="10" s="1"/>
  <c r="F11" i="10" l="1"/>
  <c r="J11" i="10" s="1"/>
  <c r="L11" i="10" s="1"/>
  <c r="N19" i="53"/>
  <c r="N16" i="53"/>
  <c r="N20" i="53"/>
  <c r="Q10" i="10" l="1"/>
  <c r="P10" i="10"/>
  <c r="N26" i="68"/>
  <c r="F15" i="10" s="1"/>
  <c r="J15" i="10" s="1"/>
  <c r="L15" i="10" s="1"/>
  <c r="N26" i="67"/>
  <c r="F14" i="10" s="1"/>
  <c r="J14" i="10" s="1"/>
  <c r="L14" i="10" s="1"/>
  <c r="N26" i="66"/>
  <c r="F13" i="10" s="1"/>
  <c r="J13" i="10" s="1"/>
  <c r="L13" i="10" s="1"/>
  <c r="F12" i="10"/>
  <c r="J12" i="10" s="1"/>
  <c r="L12" i="10" s="1"/>
  <c r="M10" i="10"/>
  <c r="N18" i="22" l="1"/>
  <c r="N26" i="53"/>
  <c r="N7" i="53"/>
  <c r="N8" i="53"/>
  <c r="N9" i="53"/>
  <c r="N10" i="10" s="1"/>
  <c r="N17" i="10" s="1"/>
  <c r="N10" i="53"/>
  <c r="N11" i="53"/>
  <c r="N12" i="53"/>
  <c r="N13" i="53"/>
  <c r="N15" i="53"/>
  <c r="N17" i="53"/>
  <c r="N18" i="53"/>
  <c r="N21" i="53"/>
  <c r="N22" i="53"/>
  <c r="N23" i="53"/>
  <c r="N24" i="53"/>
  <c r="N25" i="53"/>
  <c r="N15" i="39"/>
  <c r="N18" i="39"/>
  <c r="N17" i="39"/>
  <c r="N16" i="39"/>
  <c r="N14" i="39"/>
  <c r="N12" i="39"/>
  <c r="N16" i="22"/>
  <c r="N15" i="22"/>
  <c r="N14" i="22"/>
  <c r="N13" i="22"/>
  <c r="N12" i="22"/>
  <c r="N9" i="22"/>
  <c r="N8" i="22"/>
  <c r="N6" i="22"/>
  <c r="N7" i="22"/>
  <c r="Q17" i="10"/>
  <c r="P17" i="10"/>
  <c r="N54" i="52"/>
  <c r="N53" i="52"/>
  <c r="N52" i="52"/>
  <c r="N51" i="52"/>
  <c r="N50" i="52"/>
  <c r="N49" i="52"/>
  <c r="N5" i="22"/>
  <c r="N10" i="22"/>
  <c r="N11" i="22"/>
  <c r="N17" i="22"/>
  <c r="W10" i="10" l="1"/>
  <c r="N19" i="22"/>
  <c r="N55" i="52"/>
  <c r="N47" i="52"/>
  <c r="N48" i="52" s="1"/>
  <c r="N56" i="52" s="1"/>
  <c r="N27" i="53"/>
  <c r="F10" i="10" s="1"/>
  <c r="J10" i="10" s="1"/>
  <c r="O49" i="52" l="1"/>
  <c r="N7" i="39"/>
  <c r="N8" i="39"/>
  <c r="N9" i="39"/>
  <c r="N11" i="39"/>
  <c r="N26" i="39"/>
  <c r="N25" i="39"/>
  <c r="N24" i="39"/>
  <c r="N23" i="39"/>
  <c r="N22" i="39"/>
  <c r="N21" i="39"/>
  <c r="N6" i="39"/>
  <c r="U17" i="10"/>
  <c r="V17" i="10"/>
  <c r="S17" i="10"/>
  <c r="T17" i="10"/>
  <c r="R17" i="10"/>
  <c r="N19" i="39" l="1"/>
  <c r="N27" i="39"/>
  <c r="N20" i="39" l="1"/>
  <c r="O21" i="39" l="1"/>
  <c r="N28" i="39"/>
  <c r="O6" i="39"/>
  <c r="F17" i="10" l="1"/>
  <c r="H17" i="10" l="1"/>
  <c r="G17" i="10"/>
  <c r="O17" i="10" l="1"/>
  <c r="M17" i="10"/>
  <c r="L10" i="10" l="1"/>
  <c r="L17" i="10" s="1"/>
  <c r="I17" i="10"/>
  <c r="K17" i="10"/>
  <c r="J17" i="10" l="1"/>
  <c r="W17" i="10"/>
</calcChain>
</file>

<file path=xl/sharedStrings.xml><?xml version="1.0" encoding="utf-8"?>
<sst xmlns="http://schemas.openxmlformats.org/spreadsheetml/2006/main" count="5493" uniqueCount="1380">
  <si>
    <t>회의비</t>
    <phoneticPr fontId="2" type="noConversion"/>
  </si>
  <si>
    <t>산출내역</t>
    <phoneticPr fontId="10" type="noConversion"/>
  </si>
  <si>
    <t>금액</t>
    <phoneticPr fontId="10" type="noConversion"/>
  </si>
  <si>
    <t>구성비</t>
    <phoneticPr fontId="10" type="noConversion"/>
  </si>
  <si>
    <t>×</t>
  </si>
  <si>
    <t>LG 그램 노트북</t>
    <phoneticPr fontId="2" type="noConversion"/>
  </si>
  <si>
    <t>x</t>
    <phoneticPr fontId="2" type="noConversion"/>
  </si>
  <si>
    <t>원</t>
    <phoneticPr fontId="2" type="noConversion"/>
  </si>
  <si>
    <t>대</t>
    <phoneticPr fontId="2" type="noConversion"/>
  </si>
  <si>
    <t>회</t>
    <phoneticPr fontId="2" type="noConversion"/>
  </si>
  <si>
    <t>주강사</t>
    <phoneticPr fontId="2" type="noConversion"/>
  </si>
  <si>
    <t>보조강사</t>
    <phoneticPr fontId="2" type="noConversion"/>
  </si>
  <si>
    <t>인</t>
    <phoneticPr fontId="2" type="noConversion"/>
  </si>
  <si>
    <t>전문가 자문</t>
    <phoneticPr fontId="2" type="noConversion"/>
  </si>
  <si>
    <t>강사료</t>
    <phoneticPr fontId="2" type="noConversion"/>
  </si>
  <si>
    <t>안전관리요원</t>
    <phoneticPr fontId="2" type="noConversion"/>
  </si>
  <si>
    <t>보험료</t>
    <phoneticPr fontId="2" type="noConversion"/>
  </si>
  <si>
    <t>직접비</t>
    <phoneticPr fontId="10" type="noConversion"/>
  </si>
  <si>
    <t>개월</t>
    <phoneticPr fontId="2" type="noConversion"/>
  </si>
  <si>
    <t>사업수당</t>
    <phoneticPr fontId="2" type="noConversion"/>
  </si>
  <si>
    <t>미지급인력</t>
    <phoneticPr fontId="2" type="noConversion"/>
  </si>
  <si>
    <t>(참여율)</t>
    <phoneticPr fontId="2" type="noConversion"/>
  </si>
  <si>
    <t>건</t>
    <phoneticPr fontId="2" type="noConversion"/>
  </si>
  <si>
    <t>000 강의실</t>
    <phoneticPr fontId="2" type="noConversion"/>
  </si>
  <si>
    <t>개</t>
    <phoneticPr fontId="2" type="noConversion"/>
  </si>
  <si>
    <t>간접비</t>
    <phoneticPr fontId="10" type="noConversion"/>
  </si>
  <si>
    <t>비목</t>
    <phoneticPr fontId="10" type="noConversion"/>
  </si>
  <si>
    <t>세목</t>
    <phoneticPr fontId="2" type="noConversion"/>
  </si>
  <si>
    <t>세세목</t>
    <phoneticPr fontId="2" type="noConversion"/>
  </si>
  <si>
    <t>■ 지원인력 인건비</t>
    <phoneticPr fontId="10" type="noConversion"/>
  </si>
  <si>
    <t>지원인력 인건비</t>
    <phoneticPr fontId="2" type="noConversion"/>
  </si>
  <si>
    <t>■ 기관 공통경비</t>
    <phoneticPr fontId="10" type="noConversion"/>
  </si>
  <si>
    <t>장비 구축비</t>
    <phoneticPr fontId="2" type="noConversion"/>
  </si>
  <si>
    <t>비품 구입</t>
    <phoneticPr fontId="2" type="noConversion"/>
  </si>
  <si>
    <t>공공요금</t>
    <phoneticPr fontId="2" type="noConversion"/>
  </si>
  <si>
    <t>■ 장비·시설 구축 및 운영비</t>
    <phoneticPr fontId="10" type="noConversion"/>
  </si>
  <si>
    <t>세트</t>
    <phoneticPr fontId="2" type="noConversion"/>
  </si>
  <si>
    <t>지원인력 A</t>
    <phoneticPr fontId="2" type="noConversion"/>
  </si>
  <si>
    <t>보관함(서랍)</t>
    <phoneticPr fontId="2" type="noConversion"/>
  </si>
  <si>
    <t>A4용지(세트)</t>
    <phoneticPr fontId="2" type="noConversion"/>
  </si>
  <si>
    <t>수도, 전기료 등 요금</t>
    <phoneticPr fontId="2" type="noConversion"/>
  </si>
  <si>
    <t>품명</t>
    <phoneticPr fontId="2" type="noConversion"/>
  </si>
  <si>
    <t>단위</t>
    <phoneticPr fontId="2" type="noConversion"/>
  </si>
  <si>
    <t>단위</t>
    <phoneticPr fontId="2" type="noConversion"/>
  </si>
  <si>
    <r>
      <rPr>
        <b/>
        <sz val="20"/>
        <color rgb="FF0070C0"/>
        <rFont val="HY견고딕"/>
        <family val="1"/>
        <charset val="129"/>
      </rPr>
      <t>엔트리를 활용한 우리 지역 날씨 예측</t>
    </r>
    <r>
      <rPr>
        <b/>
        <sz val="20"/>
        <color theme="1"/>
        <rFont val="HY견고딕"/>
        <family val="1"/>
        <charset val="129"/>
      </rPr>
      <t xml:space="preserve"> 프로그램 세부 산출내역서</t>
    </r>
    <phoneticPr fontId="2" type="noConversion"/>
  </si>
  <si>
    <r>
      <t>□ 작성가이드</t>
    </r>
    <r>
      <rPr>
        <b/>
        <sz val="11"/>
        <color rgb="FF0000FF"/>
        <rFont val="맑은 고딕"/>
        <family val="3"/>
        <charset val="129"/>
        <scheme val="minor"/>
      </rPr>
      <t>(※ 작성 전 안내 사항 반드시 확인 후 제출합니다)</t>
    </r>
    <phoneticPr fontId="2" type="noConversion"/>
  </si>
  <si>
    <t>`</t>
    <phoneticPr fontId="2" type="noConversion"/>
  </si>
  <si>
    <t>금액(공급가액)</t>
    <phoneticPr fontId="2" type="noConversion"/>
  </si>
  <si>
    <t>수량</t>
    <phoneticPr fontId="2" type="noConversion"/>
  </si>
  <si>
    <t>횟수</t>
    <phoneticPr fontId="2" type="noConversion"/>
  </si>
  <si>
    <t>x</t>
    <phoneticPr fontId="2" type="noConversion"/>
  </si>
  <si>
    <t>x</t>
    <phoneticPr fontId="2" type="noConversion"/>
  </si>
  <si>
    <t>사업운영비</t>
    <phoneticPr fontId="2" type="noConversion"/>
  </si>
  <si>
    <t>사업관리비</t>
    <phoneticPr fontId="2" type="noConversion"/>
  </si>
  <si>
    <t>사업운영비</t>
    <phoneticPr fontId="2" type="noConversion"/>
  </si>
  <si>
    <t>※ 칸이 부족할 경우 아래로 추가하여 작성</t>
  </si>
  <si>
    <t>연번</t>
  </si>
  <si>
    <t>생년월일</t>
    <phoneticPr fontId="2" type="noConversion"/>
  </si>
  <si>
    <t>소속</t>
    <phoneticPr fontId="2" type="noConversion"/>
  </si>
  <si>
    <t>관련 주요 경력</t>
    <phoneticPr fontId="2" type="noConversion"/>
  </si>
  <si>
    <t>구분</t>
    <phoneticPr fontId="2" type="noConversion"/>
  </si>
  <si>
    <t>기관명</t>
    <phoneticPr fontId="2" type="noConversion"/>
  </si>
  <si>
    <t>직위</t>
    <phoneticPr fontId="2" type="noConversion"/>
  </si>
  <si>
    <t>학교명</t>
    <phoneticPr fontId="2" type="noConversion"/>
  </si>
  <si>
    <t>전공</t>
    <phoneticPr fontId="2" type="noConversion"/>
  </si>
  <si>
    <t>학사</t>
    <phoneticPr fontId="2" type="noConversion"/>
  </si>
  <si>
    <t>컴퓨터공학</t>
    <phoneticPr fontId="2" type="noConversion"/>
  </si>
  <si>
    <t>박사</t>
    <phoneticPr fontId="2" type="noConversion"/>
  </si>
  <si>
    <t>-</t>
    <phoneticPr fontId="2" type="noConversion"/>
  </si>
  <si>
    <t>참여 프로그램</t>
    <phoneticPr fontId="2" type="noConversion"/>
  </si>
  <si>
    <t>참여 구분</t>
    <phoneticPr fontId="2" type="noConversion"/>
  </si>
  <si>
    <t>강사료 지급 기준 및 참여 명단</t>
    <phoneticPr fontId="2" type="noConversion"/>
  </si>
  <si>
    <t>1. 지급 기준</t>
    <phoneticPr fontId="2" type="noConversion"/>
  </si>
  <si>
    <t>다</t>
    <phoneticPr fontId="2" type="noConversion"/>
  </si>
  <si>
    <t>가</t>
    <phoneticPr fontId="2" type="noConversion"/>
  </si>
  <si>
    <t>나</t>
    <phoneticPr fontId="2" type="noConversion"/>
  </si>
  <si>
    <t>적용대상</t>
    <phoneticPr fontId="2" type="noConversion"/>
  </si>
  <si>
    <t>시간당 금액</t>
    <phoneticPr fontId="2" type="noConversion"/>
  </si>
  <si>
    <t>수업 1회 최대 지급액</t>
    <phoneticPr fontId="2" type="noConversion"/>
  </si>
  <si>
    <t>등급</t>
    <phoneticPr fontId="2" type="noConversion"/>
  </si>
  <si>
    <t>외부 전문가</t>
    <phoneticPr fontId="2" type="noConversion"/>
  </si>
  <si>
    <t>안전관리</t>
    <phoneticPr fontId="2" type="noConversion"/>
  </si>
  <si>
    <t>총 투입시간</t>
    <phoneticPr fontId="2" type="noConversion"/>
  </si>
  <si>
    <t>연번</t>
    <phoneticPr fontId="2" type="noConversion"/>
  </si>
  <si>
    <t>구분</t>
    <phoneticPr fontId="2" type="noConversion"/>
  </si>
  <si>
    <t>수량
(개)</t>
    <phoneticPr fontId="2" type="noConversion"/>
  </si>
  <si>
    <t>시설
정원</t>
    <phoneticPr fontId="2" type="noConversion"/>
  </si>
  <si>
    <t>시설
면적(㎡)</t>
    <phoneticPr fontId="2" type="noConversion"/>
  </si>
  <si>
    <t>시설 소재지</t>
    <phoneticPr fontId="2" type="noConversion"/>
  </si>
  <si>
    <t>임차여부</t>
    <phoneticPr fontId="2" type="noConversion"/>
  </si>
  <si>
    <t>괸리주체</t>
    <phoneticPr fontId="2" type="noConversion"/>
  </si>
  <si>
    <t>규격·사양</t>
    <phoneticPr fontId="2" type="noConversion"/>
  </si>
  <si>
    <t>저자 또는 
개발처</t>
    <phoneticPr fontId="2" type="noConversion"/>
  </si>
  <si>
    <t>관리주체</t>
    <phoneticPr fontId="2" type="noConversion"/>
  </si>
  <si>
    <t>관리주체</t>
    <phoneticPr fontId="2" type="noConversion"/>
  </si>
  <si>
    <t>시설</t>
  </si>
  <si>
    <t>자체</t>
    <phoneticPr fontId="2" type="noConversion"/>
  </si>
  <si>
    <t>교육 인프라 목록</t>
    <phoneticPr fontId="2" type="noConversion"/>
  </si>
  <si>
    <t>구분
(시설/장비/교구재)</t>
    <phoneticPr fontId="2" type="noConversion"/>
  </si>
  <si>
    <t>시설/장비/교구재명</t>
    <phoneticPr fontId="2" type="noConversion"/>
  </si>
  <si>
    <t>장비 정보</t>
    <phoneticPr fontId="2" type="noConversion"/>
  </si>
  <si>
    <t>교육시설 정보(집합형일 경우 필수)</t>
    <phoneticPr fontId="2" type="noConversion"/>
  </si>
  <si>
    <t>교구재 정보</t>
    <phoneticPr fontId="2" type="noConversion"/>
  </si>
  <si>
    <t>단가</t>
    <phoneticPr fontId="2" type="noConversion"/>
  </si>
  <si>
    <t>규격·사양</t>
    <phoneticPr fontId="2" type="noConversion"/>
  </si>
  <si>
    <t>장비 구입/임차처</t>
    <phoneticPr fontId="2" type="noConversion"/>
  </si>
  <si>
    <t>프로그램명</t>
    <phoneticPr fontId="2" type="noConversion"/>
  </si>
  <si>
    <t>※ 시설, 장비, 교구재 활용 시 관련 견적서 첨부 필수</t>
    <phoneticPr fontId="2" type="noConversion"/>
  </si>
  <si>
    <t>정산수수료</t>
    <phoneticPr fontId="2" type="noConversion"/>
  </si>
  <si>
    <t>0000 교재 구입</t>
    <phoneticPr fontId="2" type="noConversion"/>
  </si>
  <si>
    <t>2. 강사진 및 전문가 구성 명단</t>
    <phoneticPr fontId="2" type="noConversion"/>
  </si>
  <si>
    <t>확정여부</t>
    <phoneticPr fontId="2" type="noConversion"/>
  </si>
  <si>
    <t>확정 비율</t>
    <phoneticPr fontId="2" type="noConversion"/>
  </si>
  <si>
    <t>관련 자격증
(취득일자)</t>
    <phoneticPr fontId="2" type="noConversion"/>
  </si>
  <si>
    <t>보험명</t>
    <phoneticPr fontId="2" type="noConversion"/>
  </si>
  <si>
    <t>보드 구입(일회성)</t>
    <phoneticPr fontId="2" type="noConversion"/>
  </si>
  <si>
    <t>AI코디니 임차비(범용성)</t>
    <phoneticPr fontId="2" type="noConversion"/>
  </si>
  <si>
    <t>현직 교원</t>
    <phoneticPr fontId="2" type="noConversion"/>
  </si>
  <si>
    <t>대학 교수</t>
    <phoneticPr fontId="2" type="noConversion"/>
  </si>
  <si>
    <t>기업 소속 전문가</t>
    <phoneticPr fontId="2" type="noConversion"/>
  </si>
  <si>
    <t>외부 강사(방과후 등)</t>
    <phoneticPr fontId="2" type="noConversion"/>
  </si>
  <si>
    <t>예비 교원</t>
    <phoneticPr fontId="2" type="noConversion"/>
  </si>
  <si>
    <t>대학원생(석, 박사)</t>
    <phoneticPr fontId="2" type="noConversion"/>
  </si>
  <si>
    <t>대학생</t>
    <phoneticPr fontId="2" type="noConversion"/>
  </si>
  <si>
    <t>합계</t>
    <phoneticPr fontId="2" type="noConversion"/>
  </si>
  <si>
    <t>3. 활용 전문가 구성 분포(인원 수 기재)</t>
    <phoneticPr fontId="2" type="noConversion"/>
  </si>
  <si>
    <t>연번</t>
    <phoneticPr fontId="2" type="noConversion"/>
  </si>
  <si>
    <t>과정 구분</t>
    <phoneticPr fontId="2" type="noConversion"/>
  </si>
  <si>
    <t>학교급</t>
    <phoneticPr fontId="2" type="noConversion"/>
  </si>
  <si>
    <t>교육 프로그램명</t>
    <phoneticPr fontId="2" type="noConversion"/>
  </si>
  <si>
    <t>직접비</t>
    <phoneticPr fontId="2" type="noConversion"/>
  </si>
  <si>
    <t>간접비</t>
    <phoneticPr fontId="2" type="noConversion"/>
  </si>
  <si>
    <t>사업운영비</t>
    <phoneticPr fontId="2" type="noConversion"/>
  </si>
  <si>
    <t>인건비</t>
    <phoneticPr fontId="2" type="noConversion"/>
  </si>
  <si>
    <t>교육소양</t>
    <phoneticPr fontId="2" type="noConversion"/>
  </si>
  <si>
    <t>디지털 리터러시</t>
  </si>
  <si>
    <t>1인
교육단가
(A)</t>
    <phoneticPr fontId="2" type="noConversion"/>
  </si>
  <si>
    <t>수업차시</t>
    <phoneticPr fontId="2" type="noConversion"/>
  </si>
  <si>
    <t>시간당 단가</t>
    <phoneticPr fontId="2" type="noConversion"/>
  </si>
  <si>
    <t>운영 횟수
(C)</t>
    <phoneticPr fontId="2" type="noConversion"/>
  </si>
  <si>
    <t>프로그램
운영비 합계
(부가세 포함)
(E=AxD)</t>
    <phoneticPr fontId="2" type="noConversion"/>
  </si>
  <si>
    <t>합계 및 평균</t>
    <phoneticPr fontId="2" type="noConversion"/>
  </si>
  <si>
    <t>활동 가능 권역</t>
    <phoneticPr fontId="2" type="noConversion"/>
  </si>
  <si>
    <t>단기인력(안전관리 포함)</t>
    <phoneticPr fontId="2" type="noConversion"/>
  </si>
  <si>
    <t>비고</t>
    <phoneticPr fontId="2" type="noConversion"/>
  </si>
  <si>
    <t>4인/1대</t>
    <phoneticPr fontId="2" type="noConversion"/>
  </si>
  <si>
    <t>1인/1대</t>
    <phoneticPr fontId="2" type="noConversion"/>
  </si>
  <si>
    <t>1인/1개</t>
    <phoneticPr fontId="2" type="noConversion"/>
  </si>
  <si>
    <t>20인/1실</t>
    <phoneticPr fontId="2" type="noConversion"/>
  </si>
  <si>
    <t>1인/1부</t>
    <phoneticPr fontId="2" type="noConversion"/>
  </si>
  <si>
    <t>부</t>
    <phoneticPr fontId="2" type="noConversion"/>
  </si>
  <si>
    <t>총계(3=(1)+(2))</t>
    <phoneticPr fontId="12" type="noConversion"/>
  </si>
  <si>
    <t>사업관리비 및 간접비 작성 예시('총 사업비 산출' 시트)</t>
    <phoneticPr fontId="2" type="noConversion"/>
  </si>
  <si>
    <t>※ 사업관리비 및 간접비는 총액 기준 작성</t>
  </si>
  <si>
    <t xml:space="preserve">직접비       </t>
    <phoneticPr fontId="2" type="noConversion"/>
  </si>
  <si>
    <t>실</t>
    <phoneticPr fontId="2" type="noConversion"/>
  </si>
  <si>
    <t>사업운영비 소계(1)</t>
    <phoneticPr fontId="10" type="noConversion"/>
  </si>
  <si>
    <t>사업관리비 소계(2)</t>
    <phoneticPr fontId="10" type="noConversion"/>
  </si>
  <si>
    <r>
      <t>직접비</t>
    </r>
    <r>
      <rPr>
        <b/>
        <sz val="11"/>
        <color indexed="12"/>
        <rFont val="굴림"/>
        <family val="3"/>
        <charset val="129"/>
      </rPr>
      <t xml:space="preserve"> 소계(3)</t>
    </r>
    <phoneticPr fontId="10" type="noConversion"/>
  </si>
  <si>
    <t>간접비 소계(4)</t>
    <phoneticPr fontId="10" type="noConversion"/>
  </si>
  <si>
    <t>사업운영비 소계(1)</t>
    <phoneticPr fontId="2" type="noConversion"/>
  </si>
  <si>
    <t>사업관리비 소계(2)</t>
    <phoneticPr fontId="2" type="noConversion"/>
  </si>
  <si>
    <t>직접비 소계(3)</t>
    <phoneticPr fontId="10" type="noConversion"/>
  </si>
  <si>
    <t>시설·장비 임차비</t>
    <phoneticPr fontId="2" type="noConversion"/>
  </si>
  <si>
    <t>재료구입비</t>
    <phoneticPr fontId="2" type="noConversion"/>
  </si>
  <si>
    <t>외부 전문가 기술 활용비</t>
    <phoneticPr fontId="2" type="noConversion"/>
  </si>
  <si>
    <t>그 외 운영비</t>
    <phoneticPr fontId="2" type="noConversion"/>
  </si>
  <si>
    <t>그 외 관리비</t>
    <phoneticPr fontId="2" type="noConversion"/>
  </si>
  <si>
    <t>인쇄·복사·인화·
슬라이드 제작비(홍보)</t>
    <phoneticPr fontId="2" type="noConversion"/>
  </si>
  <si>
    <t>■ 시설·장비 임차비</t>
    <phoneticPr fontId="10" type="noConversion"/>
  </si>
  <si>
    <t>■ 재료구입비</t>
    <phoneticPr fontId="10" type="noConversion"/>
  </si>
  <si>
    <t>■ 인쇄·복사·인화·
슬라이드 제작비</t>
    <phoneticPr fontId="10" type="noConversion"/>
  </si>
  <si>
    <t>■ 외부 전문가 기술 활용비</t>
    <phoneticPr fontId="10" type="noConversion"/>
  </si>
  <si>
    <t>■ 회의비</t>
    <phoneticPr fontId="10" type="noConversion"/>
  </si>
  <si>
    <t>■ 제세공과·수수료·공공요금</t>
    <phoneticPr fontId="10" type="noConversion"/>
  </si>
  <si>
    <t>■ 기타 경비</t>
    <phoneticPr fontId="10" type="noConversion"/>
  </si>
  <si>
    <t>관리목</t>
    <phoneticPr fontId="2" type="noConversion"/>
  </si>
  <si>
    <t>장비 임차</t>
    <phoneticPr fontId="2" type="noConversion"/>
  </si>
  <si>
    <t>교육장·시설 임차</t>
    <phoneticPr fontId="2" type="noConversion"/>
  </si>
  <si>
    <t>교구 임차</t>
    <phoneticPr fontId="2" type="noConversion"/>
  </si>
  <si>
    <t>교재 인쇄·제작·구매</t>
    <phoneticPr fontId="2" type="noConversion"/>
  </si>
  <si>
    <t>외부 전문가 활용</t>
    <phoneticPr fontId="2" type="noConversion"/>
  </si>
  <si>
    <t>■ 일용직활용비</t>
    <phoneticPr fontId="10" type="noConversion"/>
  </si>
  <si>
    <t>단기근로자 활용</t>
    <phoneticPr fontId="2" type="noConversion"/>
  </si>
  <si>
    <t>교통비(평균 적용)</t>
    <phoneticPr fontId="2" type="noConversion"/>
  </si>
  <si>
    <t>교육생 식·다과비</t>
    <phoneticPr fontId="2" type="noConversion"/>
  </si>
  <si>
    <t>다과 제공</t>
    <phoneticPr fontId="2" type="noConversion"/>
  </si>
  <si>
    <t>■ 우편요금·택배비</t>
    <phoneticPr fontId="10" type="noConversion"/>
  </si>
  <si>
    <t>운송비</t>
    <phoneticPr fontId="2" type="noConversion"/>
  </si>
  <si>
    <t>장비 운송</t>
    <phoneticPr fontId="2" type="noConversion"/>
  </si>
  <si>
    <t xml:space="preserve"> </t>
    <phoneticPr fontId="2" type="noConversion"/>
  </si>
  <si>
    <t>교구 구매</t>
    <phoneticPr fontId="2" type="noConversion"/>
  </si>
  <si>
    <t>[프로그램 운영비 편성 시 고려사항]
1. 실 작성 시 모든 폰트는 검은색으로 변경하여 작성
2. 제안 프로그램 수에 맞게 각각의 운영비 산출 필요(예. 제안프로그램 6종→세부 산출내역서 6부(시트) 필요)
3. 매입부가세가 발생하는 항목은 공급가액 기준으로 작성, 강사료, 보험료 등 매입부가세와 관련없는 항목은 실 집행금액 작성
4. 장비 및 교구재, 교육장 등 기준인원이 있는 항목은 각 항목별 비고란에 1대(개,실,부 등)당 기준인원수 필수 기입
5. 장비 및 교구재, 교육장 등의 금액(공급가액)은 실제 1대(개,실,부 등)당 임차 또는 구매 금액으로, 수량은 실 갯수 기입
   (산출내역 수량 및 횟수 단위에 사람 수(人) 기준 단위로 변경 불가)
6. 단위는 가급적 변경을 지양하고, 불가피하게 변경하더라도 1식 등의 모호한 표현 금지
7. 프로그램별 산출이 어려운 행사, 강사 연수 비용 등은 총 필요 예산을 제안 프로그램별 적절하게 분배하여 기입 가능
8. 프로그램별 실제 운영에 필요한 비용으로 계상하되 전체 제안프로그램 운영비 및 사업관리비, 간접비의 합계가 신청유형별(새싹A/B) 최대 예산을 넘지않도록 주의</t>
    <phoneticPr fontId="2" type="noConversion"/>
  </si>
  <si>
    <t>■ 내부 인건비</t>
    <phoneticPr fontId="10" type="noConversion"/>
  </si>
  <si>
    <t>참여 인력 사업 수당</t>
    <phoneticPr fontId="2" type="noConversion"/>
  </si>
  <si>
    <t>참여 인력 인건비</t>
    <phoneticPr fontId="2" type="noConversion"/>
  </si>
  <si>
    <t>회의 식·다과비</t>
    <phoneticPr fontId="2" type="noConversion"/>
  </si>
  <si>
    <t xml:space="preserve">홍보물 인쇄·제작 </t>
    <phoneticPr fontId="2" type="noConversion"/>
  </si>
  <si>
    <t>■ 사무용품비</t>
    <phoneticPr fontId="10" type="noConversion"/>
  </si>
  <si>
    <t>사무용품</t>
    <phoneticPr fontId="2" type="noConversion"/>
  </si>
  <si>
    <t>문구류</t>
    <phoneticPr fontId="2" type="noConversion"/>
  </si>
  <si>
    <t>■ 출장비</t>
    <phoneticPr fontId="10" type="noConversion"/>
  </si>
  <si>
    <t>국내 출장 여비</t>
    <phoneticPr fontId="2" type="noConversion"/>
  </si>
  <si>
    <t>현장 운영 출장</t>
    <phoneticPr fontId="2" type="noConversion"/>
  </si>
  <si>
    <t>인쇄·복사·인화·
슬라이드 제작비
(교재)</t>
    <phoneticPr fontId="2" type="noConversion"/>
  </si>
  <si>
    <t>인원 수송</t>
    <phoneticPr fontId="2" type="noConversion"/>
  </si>
  <si>
    <t>차량 렌트</t>
    <phoneticPr fontId="2" type="noConversion"/>
  </si>
  <si>
    <t>총계 (5)=(3)+(4)</t>
    <phoneticPr fontId="12" type="noConversion"/>
  </si>
  <si>
    <t>[프로그램 운영비 편성 시 고려사항]
1. 실 작성 시 모든 폰트는 검은색으로 변경하여 작성
2. 제안 프로그램 수에 맞게 각각의 운영비 산출 필요(예. 제안프로그램 6종→세부 산출내역서 6부(시트) 필요)
3. 매입부가세가 발생하는 항목은 공급가액과 매입부가세 합산 금액 작성, 강사료, 보험료 등 매입부가세와 관련없는 항목은 실 집행금액 작성
4. 장비 및 교구재, 교육장 등 기준인원이 있는 항목은 각 항목별 비고란에 1대(개,실,부 등)당 기준인원수 필수 기입
5. 장비 및 교구재, 교육장 등의 금액(공급가액)은 실제 1대(개,실,부 등)당 임차 또는 구매 금액으로, 수량은 실 갯수 기입
   (산출내역 수량 및 횟수 단위에 사람 수(人) 기준 단위로 변경 불가)
6. 단위는 가급적 변경을 지양하고, 불가피하게 변경하더라도 1식 등의 모호한 표현 금지
7. 프로그램별 산출이 어려운 행사, 강사 연수 비용 등은 총 필요 예산을 제안 프로그램별 적절하게 분배하여 기입 가능
8. 프로그램별 실제 운영에 필요한 비용으로 계상하되 전체 제안프로그램 운영비 및 사업관리비, 간접비의 합계가 신청유형별(새싹A/B) 최대 예산을 넘지않도록 주의</t>
    <phoneticPr fontId="2" type="noConversion"/>
  </si>
  <si>
    <t>[사업관리비 및 간접비 편성 시 고려사항]
1. 실 작성 시 모든 폰트는 검은색으로 변경하여 작성
2. 사업관리비 및 간접비는 '총 사업비 산출' 시트에만 작성
3. 매입부가세가 발생하는 항목은 공급가액과 매입부가세 합산 금액 작성, 강사료, 보험료 등 매입부가세와 관련없는 항목은 실 집행금액 작성
4. 인건비 내 초과근무수당 계상 가능하나 참여율 기준으로 계상해야 함(예. 참여율 50%라면 지급 필요 초과근무수당에서 50%까지 책정 가능)
5. 직접비와 간접비로 구분하여 편성하되, 간접비는 직접비(사업운영비+사업관리비)의 5% 이내로 편성('구성비' 확인 필)
6. 사업관리비 합계는 직접비(사업운영비+사업관리비)의 15% 이내로 편성('구성비' 확인 필)
7. 단위는 가급적 변경을 지양하고, 불가피하게 변경하더라도 1식 등의 모호한 표현 금지
8. 사업수당은 미지급인건비의 20%이하 준수('금액' 열에 해당 비율 반영하여 산출, 현재는 0.2(20%)로 반영되어 있음)
9. 정산수수료 책정 필수(공급가액 150만원, 향후 정확한 금액 안내 및 일괄 사업비 변경 요청 예정)</t>
    <phoneticPr fontId="2" type="noConversion"/>
  </si>
  <si>
    <t>총계</t>
    <phoneticPr fontId="12" type="noConversion"/>
  </si>
  <si>
    <t>세부 내역 기준 신청(제출) 금액(공급대가(부가세 포함) 기준 작성)</t>
    <phoneticPr fontId="2" type="noConversion"/>
  </si>
  <si>
    <t>단가 기준 신청(제출) 금액(공급대가(부가세 포함) 기준 작성)</t>
    <phoneticPr fontId="2" type="noConversion"/>
  </si>
  <si>
    <t>기본</t>
  </si>
  <si>
    <t>초저(1~4학년)</t>
  </si>
  <si>
    <t>특화(AI 특화)</t>
  </si>
  <si>
    <t>초고(5~6학년)</t>
  </si>
  <si>
    <t>2026년 디지털새싹 프로그램 운영 사업비 신청내역표</t>
    <phoneticPr fontId="2" type="noConversion"/>
  </si>
  <si>
    <t>다문화</t>
  </si>
  <si>
    <t>중등</t>
  </si>
  <si>
    <t>고등</t>
  </si>
  <si>
    <t>인공지능소양</t>
  </si>
  <si>
    <t>데이터소양</t>
  </si>
  <si>
    <t>AI 인터렉티브아트 창작자</t>
  </si>
  <si>
    <t>AI배달 로봇 엔지니어</t>
  </si>
  <si>
    <t xml:space="preserve">다문화 AI 큐레이터 </t>
  </si>
  <si>
    <t xml:space="preserve">AI데이터 분석관 </t>
  </si>
  <si>
    <t>장비임차</t>
  </si>
  <si>
    <t>노트북</t>
  </si>
  <si>
    <t>교구 구매(교구, 범용성)</t>
  </si>
  <si>
    <t>무선 카메라</t>
  </si>
  <si>
    <t>창산용 문구류</t>
  </si>
  <si>
    <t>교구 구매(일회성)</t>
  </si>
  <si>
    <t>주강사료</t>
    <phoneticPr fontId="2" type="noConversion"/>
  </si>
  <si>
    <t>보조강사료</t>
    <phoneticPr fontId="2" type="noConversion"/>
  </si>
  <si>
    <t>외부전문가 활용</t>
    <phoneticPr fontId="2" type="noConversion"/>
  </si>
  <si>
    <t>자문 및 강사교육용 강사료</t>
    <phoneticPr fontId="2" type="noConversion"/>
  </si>
  <si>
    <t>외부전문가 활용</t>
  </si>
  <si>
    <t>교육 프로그램 고도화</t>
    <phoneticPr fontId="2" type="noConversion"/>
  </si>
  <si>
    <t>안전관리요원</t>
  </si>
  <si>
    <t>진행요원</t>
  </si>
  <si>
    <t>인</t>
  </si>
  <si>
    <t>행사 식다과비</t>
  </si>
  <si>
    <t>교육생 식다과비</t>
  </si>
  <si>
    <t>강사. 학생 식비, 다과비</t>
    <phoneticPr fontId="2" type="noConversion"/>
  </si>
  <si>
    <t>보험료</t>
  </si>
  <si>
    <t>운송 비용</t>
  </si>
  <si>
    <t>교통비</t>
  </si>
  <si>
    <t>반</t>
  </si>
  <si>
    <t>성과공유회, 
강사교육 식비/임차료</t>
  </si>
  <si>
    <t>오토바이, 
주행코스, 배터리</t>
  </si>
  <si>
    <t>리치보드, 
디스플레이류(4종)</t>
  </si>
  <si>
    <t>캐터필러, 무선캠, 집게, 배터리</t>
  </si>
  <si>
    <t>리치보드, 
센서류(5종)</t>
  </si>
  <si>
    <t>택배비(교구, 노트북 등)</t>
  </si>
  <si>
    <t>더듬이 자동차 + 배터리</t>
  </si>
  <si>
    <t>ESP32세트 + 클로드</t>
  </si>
  <si>
    <t>행정연구원(강혜영)</t>
  </si>
  <si>
    <t>행정연구원(이상원)</t>
  </si>
  <si>
    <t>학생연구원(정의손)</t>
  </si>
  <si>
    <t>학생연구원(김현일)</t>
  </si>
  <si>
    <t>보조연구원(학부)</t>
  </si>
  <si>
    <t>현수막, 리플렛</t>
  </si>
  <si>
    <t>기관공통비</t>
  </si>
  <si>
    <t>인하대학교 국제학부 322호</t>
    <phoneticPr fontId="2" type="noConversion"/>
  </si>
  <si>
    <t>강의실</t>
  </si>
  <si>
    <t>108명</t>
    <phoneticPr fontId="2" type="noConversion"/>
  </si>
  <si>
    <t>165㎡</t>
    <phoneticPr fontId="2" type="noConversion"/>
  </si>
  <si>
    <t>인천 미추홀구</t>
    <phoneticPr fontId="2" type="noConversion"/>
  </si>
  <si>
    <t>인하대학교 항공우주캠퍼스 203호</t>
    <phoneticPr fontId="2" type="noConversion"/>
  </si>
  <si>
    <t>30명</t>
    <phoneticPr fontId="2" type="noConversion"/>
  </si>
  <si>
    <t>66㎡</t>
    <phoneticPr fontId="2" type="noConversion"/>
  </si>
  <si>
    <t>인천 연수구</t>
    <phoneticPr fontId="2" type="noConversion"/>
  </si>
  <si>
    <t>자체</t>
  </si>
  <si>
    <t>인하대학교 항공우주캠퍼스 206호</t>
    <phoneticPr fontId="2" type="noConversion"/>
  </si>
  <si>
    <t>시설</t>
    <phoneticPr fontId="2" type="noConversion"/>
  </si>
  <si>
    <t>행정실</t>
  </si>
  <si>
    <t>10명</t>
  </si>
  <si>
    <t>40㎡</t>
  </si>
  <si>
    <t>교구재</t>
    <phoneticPr fontId="2" type="noConversion"/>
  </si>
  <si>
    <t>아두이노</t>
    <phoneticPr fontId="2" type="noConversion"/>
  </si>
  <si>
    <t>㈜에스에프에듀</t>
    <phoneticPr fontId="2" type="noConversion"/>
  </si>
  <si>
    <t>아두이노</t>
  </si>
  <si>
    <t>교구재</t>
  </si>
  <si>
    <t>microbit</t>
  </si>
  <si>
    <t>㈜에스에프에듀</t>
  </si>
  <si>
    <t>장비</t>
  </si>
  <si>
    <t>노트북 / 학교</t>
  </si>
  <si>
    <t>OS : Windows10 64bit</t>
  </si>
  <si>
    <t>- 교사, 방과후전문강사, 교수, 기업소속 전문가
- 위 모두 기존 디지털새싹 또는 유사 강의 2 클래스 이상 주강사로 참여했거나, AI융합대학원 졸업 또는 재학중인 자</t>
  </si>
  <si>
    <t>- 교사, 방과후전문강사, 교수, 기업소속 전문가 
- 위 모두 기존 디지털새싹 또는 유사 강의 2 클래스 이상 보조강사로 참여했거나, AI융합대학원 졸업 또는 재학중인 자</t>
  </si>
  <si>
    <t>교사, 방과후 전문강사</t>
  </si>
  <si>
    <t>컴퓨터 관련 전공 박사이상, 정보관련 교사 경력 20년 이상 또는 부장, 대학 전임교원 이상, 기업체소속 전문가(책임연구원 이상)</t>
  </si>
  <si>
    <t>- 교사, 방과후전문강사, 교수, 기업소속 전문가 
- 단, 위 모두 인하대 디지털새싹에서 진행하는 강사교육 4시간이상 수료자로 소정의 대면 평가를 통과한 자</t>
  </si>
  <si>
    <t>- 교사, 방과후전문강사, 기업소속 전문가 
- 단, 위 모두 인하대 디지털새싹에서 진행하는 강사교육 4시간이상 수료자</t>
  </si>
  <si>
    <t>일반인, 대학원생, 대학생</t>
  </si>
  <si>
    <t>컴퓨터 관련 전공 석사이상, 정보관련 교사, 연구원(책임급 미만)</t>
  </si>
  <si>
    <t>- 대학생, 대학원생(석박사과정 포함) 
- 단, 위 모두 강사교육 4시간 이상 수료자로 보조강사로 2클래스 이상 참여한 자</t>
  </si>
  <si>
    <t>- 대학생, 대학원생(석박사과정 포함) 
- 단, 위 모두 강사교육 8시간 이상 수료자</t>
  </si>
  <si>
    <r>
      <t xml:space="preserve">강사명
</t>
    </r>
    <r>
      <rPr>
        <sz val="10"/>
        <color rgb="FF000000"/>
        <rFont val="한양중고딕"/>
        <family val="3"/>
        <charset val="129"/>
      </rPr>
      <t>(가나다순)</t>
    </r>
  </si>
  <si>
    <r>
      <t>최종학력</t>
    </r>
    <r>
      <rPr>
        <sz val="10"/>
        <color rgb="FF000000"/>
        <rFont val="한양중고딕"/>
        <family val="3"/>
        <charset val="129"/>
      </rPr>
      <t>(졸업기준)</t>
    </r>
  </si>
  <si>
    <r>
      <t>해당분야 경력</t>
    </r>
    <r>
      <rPr>
        <sz val="10"/>
        <color rgb="FF000000"/>
        <rFont val="한양중고딕"/>
        <family val="3"/>
        <charset val="129"/>
      </rPr>
      <t>(년)</t>
    </r>
  </si>
  <si>
    <t>주강사</t>
  </si>
  <si>
    <t>페트병의 모래를 흔들어라 - 에너지 ON</t>
  </si>
  <si>
    <t>가</t>
  </si>
  <si>
    <t>김세호</t>
  </si>
  <si>
    <t>광성중학교</t>
  </si>
  <si>
    <t>교사</t>
  </si>
  <si>
    <t>인하대학교 교육대학원</t>
  </si>
  <si>
    <t>석사</t>
  </si>
  <si>
    <t xml:space="preserve"> AI융합교육</t>
  </si>
  <si>
    <t>정교사 1정 자격증</t>
  </si>
  <si>
    <t>서울 인천지역</t>
    <phoneticPr fontId="2" type="noConversion"/>
  </si>
  <si>
    <r>
      <rPr>
        <sz val="10"/>
        <color theme="1"/>
        <rFont val="맑은 고딕"/>
        <family val="3"/>
        <charset val="129"/>
      </rPr>
      <t>인하대</t>
    </r>
    <r>
      <rPr>
        <sz val="10"/>
        <color theme="1"/>
        <rFont val="맑은 고딕"/>
        <family val="2"/>
        <scheme val="minor"/>
      </rPr>
      <t xml:space="preserve"> </t>
    </r>
    <r>
      <rPr>
        <sz val="10"/>
        <color theme="1"/>
        <rFont val="맑은 고딕"/>
        <family val="3"/>
        <charset val="129"/>
      </rPr>
      <t>잡스의</t>
    </r>
    <r>
      <rPr>
        <sz val="10"/>
        <color theme="1"/>
        <rFont val="맑은 고딕"/>
        <family val="2"/>
        <scheme val="minor"/>
      </rPr>
      <t xml:space="preserve"> </t>
    </r>
    <r>
      <rPr>
        <sz val="10"/>
        <color theme="1"/>
        <rFont val="맑은 고딕"/>
        <family val="3"/>
        <charset val="129"/>
      </rPr>
      <t>차고캠프</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(23~</t>
    </r>
    <r>
      <rPr>
        <sz val="10"/>
        <color theme="1"/>
        <rFont val="맑은 고딕"/>
        <family val="3"/>
        <charset val="129"/>
      </rPr>
      <t>현재</t>
    </r>
    <r>
      <rPr>
        <sz val="10"/>
        <color theme="1"/>
        <rFont val="맑은 고딕"/>
        <family val="2"/>
        <scheme val="minor"/>
      </rPr>
      <t xml:space="preserve">), </t>
    </r>
    <r>
      <rPr>
        <sz val="10"/>
        <color theme="1"/>
        <rFont val="맑은 고딕"/>
        <family val="3"/>
        <charset val="129"/>
      </rPr>
      <t>인하대학교</t>
    </r>
    <r>
      <rPr>
        <sz val="10"/>
        <color theme="1"/>
        <rFont val="맑은 고딕"/>
        <family val="2"/>
        <scheme val="minor"/>
      </rPr>
      <t xml:space="preserve"> </t>
    </r>
    <r>
      <rPr>
        <sz val="10"/>
        <color theme="1"/>
        <rFont val="맑은 고딕"/>
        <family val="3"/>
        <charset val="129"/>
      </rPr>
      <t>교육학과</t>
    </r>
    <r>
      <rPr>
        <sz val="10"/>
        <color theme="1"/>
        <rFont val="맑은 고딕"/>
        <family val="2"/>
        <scheme val="minor"/>
      </rPr>
      <t xml:space="preserve"> </t>
    </r>
    <r>
      <rPr>
        <sz val="10"/>
        <color theme="1"/>
        <rFont val="맑은 고딕"/>
        <family val="3"/>
        <charset val="129"/>
      </rPr>
      <t>겸임교수</t>
    </r>
    <r>
      <rPr>
        <sz val="10"/>
        <color theme="1"/>
        <rFont val="맑은 고딕"/>
        <family val="2"/>
        <scheme val="minor"/>
      </rPr>
      <t>(22~</t>
    </r>
    <r>
      <rPr>
        <sz val="10"/>
        <color theme="1"/>
        <rFont val="맑은 고딕"/>
        <family val="3"/>
        <charset val="129"/>
      </rPr>
      <t>현재</t>
    </r>
    <r>
      <rPr>
        <sz val="10"/>
        <color theme="1"/>
        <rFont val="맑은 고딕"/>
        <family val="2"/>
        <scheme val="minor"/>
      </rPr>
      <t>)</t>
    </r>
  </si>
  <si>
    <t>확정</t>
  </si>
  <si>
    <t>나</t>
  </si>
  <si>
    <t>임채용</t>
  </si>
  <si>
    <t>명신여자고등학교</t>
  </si>
  <si>
    <t>성균관대학교 물리학과</t>
  </si>
  <si>
    <t>학사</t>
  </si>
  <si>
    <t>물리학 (인공지능융합 대학원 이수중)</t>
  </si>
  <si>
    <t>-</t>
  </si>
  <si>
    <t>인공지능 융합 선도학교/중심학교 담당 부장</t>
  </si>
  <si>
    <t>박종화</t>
  </si>
  <si>
    <t>옥련중학교</t>
  </si>
  <si>
    <t>금오공과대학교</t>
  </si>
  <si>
    <t>산업공학과</t>
  </si>
  <si>
    <t>인하대 잡스의 차고캠프 강사(23~현재), 인하대학원 AI융합대학원 재중</t>
  </si>
  <si>
    <t>보조강사</t>
  </si>
  <si>
    <t>오상희</t>
  </si>
  <si>
    <t>서울대학교사범대학부설중학교</t>
  </si>
  <si>
    <t>성균관대학교</t>
  </si>
  <si>
    <t>인공지능융합교육, 컴퓨터교육</t>
  </si>
  <si>
    <t>정보컴퓨터(1998.2.23.)</t>
  </si>
  <si>
    <t>서울대학교사범대학부설중학교('23~현재)
서울대학교사범대학부설고등학교('15~'23)
숨문고등학교('99~'15)</t>
  </si>
  <si>
    <t>이선주</t>
  </si>
  <si>
    <t>언남중학교</t>
  </si>
  <si>
    <t>경기대 교육대학원</t>
  </si>
  <si>
    <t>기술교육</t>
  </si>
  <si>
    <t>중등1급정교사 2019년 9월15일</t>
  </si>
  <si>
    <t>인하대 잡스의 차고캠프 강사(23~현재)</t>
  </si>
  <si>
    <t>유경윤</t>
  </si>
  <si>
    <t>인천부내초등학교</t>
  </si>
  <si>
    <t>인하대 잡스의 차고캠프 강사(23~현재)
20-21년 초등 블랜디드수업 지원단
20~23년 정보교육지원단
디지털 선도학교 터치교사단 대표교원
2023 AIEDAP 마스터교원</t>
  </si>
  <si>
    <t>이정한</t>
  </si>
  <si>
    <t>인천이음초등학교</t>
  </si>
  <si>
    <t xml:space="preserve">AI융합대학원 석사 </t>
  </si>
  <si>
    <t>김병욱</t>
  </si>
  <si>
    <t>인천금융고등학교</t>
  </si>
  <si>
    <t>건국대학교 교육대학원</t>
  </si>
  <si>
    <t>미술교육</t>
  </si>
  <si>
    <t>중등학교정교사(1급) 미술(20190411)</t>
  </si>
  <si>
    <t>(주)교학사 편집3부('08~'11년)
중등예술영재교육원 예술영재학급 미술강사('18~22년)
경희대학교 교육대학원 겸임교수('22년)
안산본오중, 인하사대부중, 정석항공과학고, 인천금융고('11~현재)
인하대 잡스의 차고캠프 강사(23~현재)</t>
  </si>
  <si>
    <t>남혜진</t>
  </si>
  <si>
    <t>부흥중학교</t>
  </si>
  <si>
    <t>AISTEAM교육</t>
  </si>
  <si>
    <r>
      <t>중등정교사</t>
    </r>
    <r>
      <rPr>
        <sz val="10"/>
        <color theme="1"/>
        <rFont val="맑은 고딕"/>
        <family val="2"/>
        <charset val="129"/>
      </rPr>
      <t xml:space="preserve"> 1금</t>
    </r>
  </si>
  <si>
    <t>우민경</t>
  </si>
  <si>
    <t>서울가락초</t>
  </si>
  <si>
    <t>서울교육대학교 교육대학원</t>
  </si>
  <si>
    <t>국제사회문화교육</t>
  </si>
  <si>
    <t>교원자격증 2013년 2월</t>
  </si>
  <si>
    <t>인하대 잡스의 차고캠프 강사 22~현재</t>
  </si>
  <si>
    <t>인터랙티브 모션아트 : AI응용 체험교실</t>
  </si>
  <si>
    <t>장희욱</t>
  </si>
  <si>
    <t>인천초은중학교</t>
  </si>
  <si>
    <t>이우진</t>
  </si>
  <si>
    <t xml:space="preserve">프리랜서 강사 </t>
  </si>
  <si>
    <t>전문강사</t>
  </si>
  <si>
    <t>건국대학교</t>
  </si>
  <si>
    <t>전자공학과</t>
  </si>
  <si>
    <t>정보처리기사(2003.6.9)</t>
  </si>
  <si>
    <t>프로그래밍 동아리 부트 회장 및 강사 역임('96년)
씨컴인터내셔널 개발팀장('00년)
정부프로젝트 DSP를 이용한 MPEG4 코덱개발('01~'02년)
이지엠텍 SW팀('03~'09년)
유니모 SW팀장('09~'13년)
엠이티글로벌 SW팀장('13~'21년)
프리랜서 프로그래밍 강의 및 개발('21~현재)</t>
  </si>
  <si>
    <t>김영준</t>
  </si>
  <si>
    <t>세곡중학교</t>
  </si>
  <si>
    <t>충남대학교</t>
  </si>
  <si>
    <t>2010.02.25</t>
  </si>
  <si>
    <t>인하대 잡스 차고캠프 주강사(2023-현재)</t>
  </si>
  <si>
    <t>조영호</t>
  </si>
  <si>
    <t>인천부평서초등학교</t>
  </si>
  <si>
    <t>2023.8.27.</t>
  </si>
  <si>
    <t>디지털 선도학교 운영(23년-)
인하대 잡스의 차고캠츠 강사(23년)
SWAI 동아리 운영(21년~)</t>
  </si>
  <si>
    <t>이재명</t>
  </si>
  <si>
    <t>인천정각초등학교</t>
  </si>
  <si>
    <t>진주교육대학교</t>
  </si>
  <si>
    <t>초등교육</t>
  </si>
  <si>
    <t>2014-2-14</t>
  </si>
  <si>
    <t>인하대 잡스의 차고캠프 강사(23~)
인천시교육청 인공지능네트워크 리더그룹(23~)
인천시교육청 교사 해커톤 장려상(23)
인천시교육청 학생 해커톤 멘토교사(23)</t>
  </si>
  <si>
    <t>차형준</t>
  </si>
  <si>
    <t>송도고등학교</t>
  </si>
  <si>
    <t>인하대학교</t>
  </si>
  <si>
    <t>수학교육과</t>
  </si>
  <si>
    <t>빅데이터기사(2021.12.31.), 정보처리기사(2021.08.20.)</t>
  </si>
  <si>
    <t>인하대 잡스의 차고캠프 강사(23~)</t>
  </si>
  <si>
    <t>강영은</t>
  </si>
  <si>
    <t>계산고등학교</t>
  </si>
  <si>
    <t>관동대학교</t>
  </si>
  <si>
    <t>수학교육</t>
  </si>
  <si>
    <t>2006.2.26</t>
  </si>
  <si>
    <t>인하대 잡스의 차고 캠프 강사(23~현재)</t>
  </si>
  <si>
    <t>김태욱</t>
  </si>
  <si>
    <t>인평자동차고등학교</t>
  </si>
  <si>
    <t>컴퓨터공학</t>
  </si>
  <si>
    <t>정보처리기사(2004.12.13)</t>
  </si>
  <si>
    <t>인평자동차고등학교 정보컴퓨터 교사('16~현재)
인하대 잡스의 차고캠프 강사(23~현재)</t>
  </si>
  <si>
    <t>김진모</t>
  </si>
  <si>
    <t>인천청라초등학교</t>
  </si>
  <si>
    <t>경인교육대학교 교육전문대학원</t>
  </si>
  <si>
    <t>ai교육</t>
  </si>
  <si>
    <t>초등정1급(2012)</t>
  </si>
  <si>
    <t>AI교육선도학교 운영담당자(21~23), SW교육선도학교 운영담당자(18~20), AIEDAP 마스터교원</t>
  </si>
  <si>
    <t>김행선</t>
  </si>
  <si>
    <t>서울신미림초등학교</t>
  </si>
  <si>
    <t>한국교원대학교대학원</t>
  </si>
  <si>
    <t>초등과학교육</t>
  </si>
  <si>
    <t>1급정교사, 데이터분석준전문가</t>
  </si>
  <si>
    <t>서울시교육청, 연구정보원, 지원청 AI디지털에듀테크강사('17~'23)
KERIS 강사('18~'23)
디지털새싹캠프 프로그램 개발 및 강사('22~현재)</t>
  </si>
  <si>
    <t>데이터 사이언스랩 - 구름 생성 반응 탐구</t>
  </si>
  <si>
    <t xml:space="preserve">황인미 </t>
  </si>
  <si>
    <t xml:space="preserve">부산대학교 일반대학원 </t>
  </si>
  <si>
    <t>화학</t>
  </si>
  <si>
    <t>중등교원자격(00.02.21)/인공지능교육지도사(21.3.2)/AZURE AI-900(23.7.15)</t>
  </si>
  <si>
    <t>중앙중학교 과학조교(`09~`11년)
(주)교원(`12~`16년)
시흥시 창체 SW마을강사(`19~`21년)
경기도 도민강사(`19~현재)
초중고 진로 및 동아리 강사(`21~현재)
자유학기제 강사(`21~현재)
경기미래파주캠퍼스 창의과학 강사(`21~현재)
인하대 잡스의 차고캠프 강사(`22~ 현재)
이티에듀, 멋쟁이사자처럼 외 디지털새싹 강사(`23~현재)</t>
  </si>
  <si>
    <t>제유미</t>
  </si>
  <si>
    <t>한국교육협동조합</t>
  </si>
  <si>
    <t xml:space="preserve">숭실대학교 </t>
  </si>
  <si>
    <t xml:space="preserve">정보처리기사 </t>
  </si>
  <si>
    <t>노스텍 기술연구소 개발팀장 99 ~ 2005년
파이썬 데이타분석 
피지컬코딩 전문강사</t>
  </si>
  <si>
    <t>윤선</t>
  </si>
  <si>
    <t>한국방송통신대학교</t>
  </si>
  <si>
    <t>학사</t>
    <phoneticPr fontId="42" type="noConversion"/>
  </si>
  <si>
    <t>교육학과 재학중</t>
  </si>
  <si>
    <t>Azure AI Fundamentals(20230819) 메타버스전문가(20230602)인공지능교육콘텐츠전문가2급(20230310) cos1급(20210501)</t>
  </si>
  <si>
    <t>시흥관내초등학교피지컬 코딩강사(2017-2023),경기도민강사창의과학분야(2021-2023),돌봄강사(2020-2021), 경기도꿈의학교피지컬코딩강사(2021-2023)</t>
  </si>
  <si>
    <t>이은주</t>
  </si>
  <si>
    <t>방송통신대학</t>
  </si>
  <si>
    <t>교육학과</t>
  </si>
  <si>
    <t>정보처리기능사 19930517 코딩지도사 1급 20181107 인공지능지도사 20201215</t>
  </si>
  <si>
    <t>시흥 연성초등학교 코딩 (17~19)
냉정초등학교 코딩(19~23)
시흥 가온초등학교 코딩(20)
장곡초등학교 플레이 소프트(21~23)
은계초등학교 (22~23)
인하대 디지털새싹 강사(22)
경기도 진흥교육 강사(19~23)</t>
  </si>
  <si>
    <t>인선미</t>
  </si>
  <si>
    <t>고려대학교, 방송통신대학교</t>
    <phoneticPr fontId="2" type="noConversion"/>
  </si>
  <si>
    <t>생물, 컴퓨터과학, 청소년교육</t>
  </si>
  <si>
    <t>중등 정교사 2급(2001. 02. 24), 정보처리기사(2005. 12. 05), 청소년지도사 2급(2018. 03. 31), ACE코딩강사 1급(Python)(2020. 11. 25), ACE코딩강사 1급(Scratch)(2021. 03. 12), 직업능력개발훈련교사(2022.01.28), SQL 개발자(2023.04.14)</t>
  </si>
  <si>
    <t>로봇을 활용한 SNPTyping(01년~03년)
 Machine Vision &amp; Motor Control SW 개발(04년~05년)
하드웨어기반 소프트웨어 개발 및 기술강의(06년~13년)
SW전문강사(17년~현재) - 호서대, 아이들과미래재단, 동아사이언스, 맘이랜서, 안랩, JAKorea, NIA, 겅기도교육복지종합센터, 코코아팹, 레드브릭, WISET, 게임문화재단, KG카이로스 등</t>
  </si>
  <si>
    <t>김지영</t>
  </si>
  <si>
    <t>인천만월초등학교</t>
  </si>
  <si>
    <t>서울교육대학교</t>
  </si>
  <si>
    <t>컴퓨터교육과</t>
  </si>
  <si>
    <t>초등1정교사자격증(2008.08.29.)</t>
  </si>
  <si>
    <t>인천구월서초 과학정보부장(2021)
인천만월초 과학정보부장(2022-2023)
AI교육선도학교 운영(2023)
2023 수도권역 AIEDAP 마스터교원</t>
  </si>
  <si>
    <t>배상길</t>
  </si>
  <si>
    <t>송도증학교</t>
  </si>
  <si>
    <t>체육교육</t>
  </si>
  <si>
    <t>2000년2월</t>
  </si>
  <si>
    <t>2000~현재 송도중학교 교사</t>
  </si>
  <si>
    <t>류은숙</t>
  </si>
  <si>
    <t>인천대학교</t>
  </si>
  <si>
    <t>정보통신공학</t>
  </si>
  <si>
    <t>무선설비산업기사(1997.09.29) / 인공지능교육지도사(2021.03.02) / 3D프린팅디자인운용사(2019.05.31) / 뤼튼프롬프톤지도자(2024.01.12)</t>
  </si>
  <si>
    <t>LG전자(주) 휴대폰소프트웨어 개발('04~'11년)
동원시스템즈(주) 통신장비소프트웨어 개발('00~'04년)
인하대학교 잡스의 차고캠프 강사('23년)
중앙대학교인문콘텐츠연구소 인공지능인문학강사('20~현재)
군포시청소년재단 군포시진로교육협력센터 중등인공지능기초 및 윤리('19~'23년)
광명시청소년재단 나름청소년활동센터 초,중,고 창의과학 메이킹('17~'23년)</t>
  </si>
  <si>
    <t>가</t>
    <phoneticPr fontId="42" type="noConversion"/>
  </si>
  <si>
    <t>이재민</t>
  </si>
  <si>
    <t>세종대학교</t>
  </si>
  <si>
    <t>호텔경영학과</t>
  </si>
  <si>
    <t>정진경</t>
  </si>
  <si>
    <t>서울신학대학교</t>
  </si>
  <si>
    <t>선교영어학과</t>
  </si>
  <si>
    <t>데이터 기반 컬러인식 및 분류 시스템</t>
  </si>
  <si>
    <t>김귀식</t>
  </si>
  <si>
    <t>인하대 대학원</t>
  </si>
  <si>
    <t>인하대학교 교육대학원</t>
    <phoneticPr fontId="42" type="noConversion"/>
  </si>
  <si>
    <t>AI융합교육</t>
    <phoneticPr fontId="2" type="noConversion"/>
  </si>
  <si>
    <t>국가기술 3D프린터운용기능사(2019.12.20), PC정비사, 국가공인 ITQ OA MASTER(2015.6.15),  인공지능교육지도사(2021.3.2.), 국가공인 PC정비사2급(2005.3.29.), 코딩지도사1급(2017.2.25.), 드론조종지도사1급(2017.1.17.), 로봇지도사1급(2017.2.12.), 융합과학지도사(2016.11.15.),  메타버스교육지도사(2022.3.15), Google for Education Certified Trainer(2021.2.16.), 창의융합지도사 마스터(2019.8.20.), 평생교육사2급(2022.3.25.), 생명과학지도자(2015.10.21), 심리상담사1급(2021.11.5.), 사회복지사2급(2017.7.19), 진로진학상담사(2022.7.5.), 코칭전문가과정수료(2022.8.12.), 전문교강사과정수료(2022.8.12.), 장애인활동지원사(2019.10.26.), 퍼실리테이터 공식인증 교육과정수료(2021.2.28.), 교육기획전문가과정수료(2022.8.12.), 스마트폰활용지도사1급(2020.8.18.), 타일프로그래밍지도사1급(2019.12.13.), 항공과학지도사(2016.11.15.)</t>
  </si>
  <si>
    <t>인하대 SW중심대학 단과확산P 연구원 및 SW 멘토(2022-현재),  인하대 잡스의 차고캠프 전문강사(2022-현재),  FNJ: 디지털 새싹캠프 강사(2022-2023),  한국인공지능교육학회 인공지능기술 분과위원(2021-현재),  고용노동부산하 여성새로일하기센터 직업교육훈련 교육강사(2018-현재),  남동구청, 계양구청, 동구청 교육강사(2016-현재),  교육청 디지털 교육강사(2022-현재),  서울디지털대 디지털도구 교육특강 강사(2019-2022),  초중고 디지털 및 4차산업기술, 과학, 진로직업 교육강사 및 진로직업 멘토(2015-현재),  경인교대 STEAM교육센터 선임연구원 (2021-현재),  인공지능교육연구소 연구위원 및 교육강사 (2021-현재)</t>
  </si>
  <si>
    <t>최선아</t>
  </si>
  <si>
    <t>만수북중학교</t>
  </si>
  <si>
    <t>교원자격증 1급, 정보처리기사</t>
  </si>
  <si>
    <t>잡스의 차고캠프 강사(23~현재)</t>
  </si>
  <si>
    <t>김형기</t>
  </si>
  <si>
    <t>인하대학교사범대학부속중학교</t>
  </si>
  <si>
    <t>AI융합교육전공</t>
  </si>
  <si>
    <t>인하부중 정보교사(03~현재)
인하대 잡스의 차고캠프 강사(22~현재)</t>
  </si>
  <si>
    <t>김주호</t>
  </si>
  <si>
    <t>목운중학교</t>
  </si>
  <si>
    <t>충북대학교</t>
  </si>
  <si>
    <t>정보컴퓨터</t>
  </si>
  <si>
    <t>정보처리기사. 1998.</t>
  </si>
  <si>
    <t xml:space="preserve">AIEDAP 리더교원. </t>
  </si>
  <si>
    <t>박상진</t>
  </si>
  <si>
    <r>
      <rPr>
        <sz val="10"/>
        <color theme="1"/>
        <rFont val="맑은 고딕"/>
        <family val="3"/>
        <charset val="129"/>
      </rPr>
      <t>인천대학교</t>
    </r>
    <r>
      <rPr>
        <sz val="10"/>
        <color theme="1"/>
        <rFont val="맑은 고딕"/>
        <family val="2"/>
        <scheme val="minor"/>
      </rPr>
      <t xml:space="preserve"> </t>
    </r>
    <r>
      <rPr>
        <sz val="10"/>
        <color theme="1"/>
        <rFont val="맑은 고딕"/>
        <family val="3"/>
        <charset val="129"/>
      </rPr>
      <t>교육대학원</t>
    </r>
  </si>
  <si>
    <t>컴퓨터교육</t>
  </si>
  <si>
    <t>정보컴퓨터 교원자격증 2022.02.01.</t>
  </si>
  <si>
    <t>-2019.08. 인천대학교 화학과/컴퓨터공학(복수전공)(차석졸업)
-2019.02.01.~2021.02.28.인천대학교 컴퓨터공학부 인공지능 연구실 연구원
-2022.02. 인천대학교 교육대학원 컴퓨터교육과졸업
-2022.03. 송도고등학교 임용
(인공지능 해외 논문 출판) 2021.04.27. PLOS ONE 해외 논문에 인공지능 주제 관련 논문 출판. 2021 impact factor는 3.752. 논문주제 : Increasing prediction accuracy of pathogenic staging by sample augmentation with a GAN</t>
  </si>
  <si>
    <t>나예진</t>
  </si>
  <si>
    <t>동덕여자대학교</t>
    <phoneticPr fontId="42" type="noConversion"/>
  </si>
  <si>
    <t>관현악과</t>
  </si>
  <si>
    <t>인하대 잡스의 차고캠프 강사(23-현재)</t>
  </si>
  <si>
    <t>데이터 기반 컬러인식 및 분류 시스템</t>
    <phoneticPr fontId="2" type="noConversion"/>
  </si>
  <si>
    <t>정영도</t>
  </si>
  <si>
    <t>ai steam교육</t>
  </si>
  <si>
    <t>석사 2023 8월. 졸업</t>
  </si>
  <si>
    <t>인하대 잡스의 차고캠프 강사 23~현재</t>
  </si>
  <si>
    <t>다</t>
  </si>
  <si>
    <t>양혜리</t>
  </si>
  <si>
    <t>인천새봄초등학교</t>
  </si>
  <si>
    <t>석사취득 2023.8.18</t>
  </si>
  <si>
    <t>인하대 잡스의 차고캠프 강사(22~현재)</t>
  </si>
  <si>
    <t>하선호</t>
  </si>
  <si>
    <t>인천선학초등학교</t>
  </si>
  <si>
    <t>경인교육대학교</t>
  </si>
  <si>
    <t xml:space="preserve">초등정교사 자격증 / 2007년 </t>
  </si>
  <si>
    <t>우학수</t>
  </si>
  <si>
    <t>인천보건고등학교</t>
  </si>
  <si>
    <t>순천향대학교</t>
  </si>
  <si>
    <t>컴퓨터학부</t>
  </si>
  <si>
    <t>정보처리기능사</t>
  </si>
  <si>
    <t xml:space="preserve">인하대 잡스의 차고캠프 강사(23~현재)
</t>
  </si>
  <si>
    <t>광량과 입사각에 따른 태양광 발전효율 선형회귀분석</t>
  </si>
  <si>
    <t>공예린</t>
  </si>
  <si>
    <t>인천영종초등학교</t>
  </si>
  <si>
    <t>AI-900(23.11.11)</t>
  </si>
  <si>
    <t xml:space="preserve">윤남순 </t>
  </si>
  <si>
    <t>-</t>
    <phoneticPr fontId="42" type="noConversion"/>
  </si>
  <si>
    <t>경영학</t>
  </si>
  <si>
    <t>메타버스교육지도사2급(22.06.27)방과후공학코딩지도사2급(22.07.01)방과후창의메이커스지도사(22.07.01)COS2급(22.07.02)드른교육지도사(23.06.19)컴퓨팅사고력보드게임지도사(23.06.19)mblock 파이썬자격증(23.06.30)</t>
  </si>
  <si>
    <t>인하대.차융합.재능대.마루한.동양대.하이코두.코코아팹디지털새싹캠프(23~현재),초.중.고4차산업및 창의미래수업(22.10~현재), 진로수업(22.12~현재),디지털배움터강사(22.07~12월)</t>
  </si>
  <si>
    <t>육동건</t>
  </si>
  <si>
    <t>단국대학교부속소프트웨어고등학교</t>
  </si>
  <si>
    <t>단국대학교</t>
  </si>
  <si>
    <t>기계공학과, 컴퓨터교육과</t>
  </si>
  <si>
    <t>삼성디스플레이 TV디스플레이개발, 모바일디스플레이 개발('11~`15년)
인하대 잡스의 차고캠프 강사(23~현재)</t>
  </si>
  <si>
    <t>이진원</t>
  </si>
  <si>
    <t>동산중학교</t>
  </si>
  <si>
    <t>2002년2월30일인사</t>
  </si>
  <si>
    <t>인하대잡스의 차고 캠프 강사(현재)</t>
  </si>
  <si>
    <t>김혜련</t>
  </si>
  <si>
    <t>재능대학교</t>
  </si>
  <si>
    <t>컴퓨터정보과</t>
  </si>
  <si>
    <t>정보처리기사 (2022년 12월)</t>
  </si>
  <si>
    <t>SW미래채움 강사(20~21년)
디지털배움터(22년)
디지털새싹 재능대(22~23년)
디지털새싹 숙명여대(23년)</t>
  </si>
  <si>
    <t>홍승권</t>
  </si>
  <si>
    <t>덕적초등학교</t>
  </si>
  <si>
    <t>경인교육대학교</t>
    <phoneticPr fontId="42" type="noConversion"/>
  </si>
  <si>
    <t>경인교육대학교 대학원 융합교육전공 수료</t>
  </si>
  <si>
    <t>발명교사인증제 2급 2023년9월</t>
  </si>
  <si>
    <t>인하대 잡스의 차고캠프 강사(23~현재</t>
  </si>
  <si>
    <t>홍순기</t>
  </si>
  <si>
    <t>부평고등학교</t>
  </si>
  <si>
    <t xml:space="preserve">
인하대 잡스의 차고캠프 강사(23~현재)
'모든교사를위한인천형인공지능교육' 제작 참여</t>
  </si>
  <si>
    <t>서강식</t>
  </si>
  <si>
    <t>간석여자중학교</t>
  </si>
  <si>
    <t>정보처리기사(2001.9.11)</t>
  </si>
  <si>
    <t>인하대 잡스의 차고캠프 강사(23~현재)
AIDAP 마스터교원</t>
  </si>
  <si>
    <t>공민수</t>
  </si>
  <si>
    <t>인천금마초등학교</t>
  </si>
  <si>
    <t>경인교육대학교 교육전문대학원</t>
    <phoneticPr fontId="2" type="noConversion"/>
  </si>
  <si>
    <t>인공지능융합교육과</t>
  </si>
  <si>
    <t xml:space="preserve">교원자격증 정교사 1급 (14.8.27) / 교원자격증 정교사 2급 (10.2.9) </t>
  </si>
  <si>
    <t xml:space="preserve">
수상내역 
    - 2023 과학기술부 장관상 수상
    - 2023 교사 에듀톤 1위 수상
    - 2023 교육과정 디자인 교육장상 수상
    - 2022 스마트 디바이스 활용 공모전 1위 수상
    - 2022 교사 에듀톤 3위 수상
활동
    - 인공지능 선도학교 컨설팅단 팀장(22~23)
    - 디지털교육지원단 AI 분과장(22~23)
    - ChatGPT 인천가이드라인 초등팀장(23)
    - 인하대 잡스의 차고캠프 강사(23~현재)</t>
  </si>
  <si>
    <t xml:space="preserve">송정희 </t>
  </si>
  <si>
    <t>방송통신대학교, 한국전산원</t>
  </si>
  <si>
    <t xml:space="preserve">청소년교육과 ,정보처리학과 </t>
  </si>
  <si>
    <t>ITQ(2012), DIAT(2012), MOS(2012),SW1급(2015)</t>
  </si>
  <si>
    <t>컴퓨터학원 강사(1995-1999)
방과후강사(2011~현재)</t>
  </si>
  <si>
    <r>
      <t>장애인 접근성 개선 AIOT 연구 개발 프로젝트</t>
    </r>
    <r>
      <rPr>
        <sz val="10"/>
        <color rgb="FF000000"/>
        <rFont val="맑은 고딕"/>
        <family val="2"/>
        <charset val="129"/>
        <scheme val="minor"/>
      </rPr>
      <t>-</t>
    </r>
    <r>
      <rPr>
        <sz val="10"/>
        <color rgb="FF000000"/>
        <rFont val="맑은 고딕"/>
        <family val="3"/>
        <charset val="129"/>
      </rPr>
      <t>내눈을 따라 다니는 인공지능</t>
    </r>
  </si>
  <si>
    <t>이혜정</t>
  </si>
  <si>
    <t>국가평생교육원</t>
  </si>
  <si>
    <t>아동학</t>
  </si>
  <si>
    <t>코딩지도사1급(22.0916), cos 엔트리 1급(22.08.13), cdt 스크레치 1급(22.11.04), 메타버스 교육지도사 1급(22.11.07), 인공지능 교육지도사1급(23.03.14), 프롬프트 지도사 자격증(23.11.06), 파이썬 전문가 1급(24.01.08)</t>
  </si>
  <si>
    <t>방과후 창의코딩('23.04~11),디지털배움터('23.04~11),SW4차산업 출강('22.10~현재)</t>
  </si>
  <si>
    <t>김미선</t>
  </si>
  <si>
    <t>숭의여자대학</t>
  </si>
  <si>
    <t>실기교사교원자격증(2008.2,20)</t>
  </si>
  <si>
    <t>성사고등학교 정보교과 강의(2018년)
영종고등학교 정보교과 강의(2021)
인하대 잡스의 차고캠프 강사(23~현재)</t>
  </si>
  <si>
    <t>황명균</t>
  </si>
  <si>
    <t>유한대학교 기계공학과 졸업</t>
  </si>
  <si>
    <t>기타</t>
  </si>
  <si>
    <t>기계공학과</t>
  </si>
  <si>
    <t>4차산업지도사1급,코딩지도사1급,인공지능지도사1급</t>
  </si>
  <si>
    <t>인하대 찹스의 차고캠프(23~현재), 신기초 코딩부 ('17~'19),평촌초 코딩부('18~'20)</t>
  </si>
  <si>
    <t>조성경</t>
  </si>
  <si>
    <t>대구대학교</t>
    <phoneticPr fontId="2" type="noConversion"/>
  </si>
  <si>
    <t>경영학과</t>
  </si>
  <si>
    <t>SW코딩2급(23.7.27)/인공지능교육지도사1급(23.11.1)</t>
  </si>
  <si>
    <t>인하대 디지털 새싹/삼성 SDS코딩교육/</t>
  </si>
  <si>
    <t>이유정</t>
  </si>
  <si>
    <t>배화여자대학교</t>
  </si>
  <si>
    <t>의상</t>
  </si>
  <si>
    <t>메타버스교육지도사 1급 : 2022.03.10 Autodesk Certified User : 2021.11.12 4차산업혁명교육지도사 1급 : 2021.02.08 초경량비행장치 조종자 : 2019.10.29 무선조종지도자(드론) 2급 : 2017.06.29 코딩지도사 2급 : 2017.06.29</t>
  </si>
  <si>
    <t>인하대 잡스의 차고캠프 강사(`23~현재)
송담초등학교-AIoT 피지컬 컴퓨팅 (`21~`23)
디지털 새싹 강사(`23~현재)
인천재능고-생성형 AI를 활용한 앱인벤터 앱만들기, 아두이노(`22~`23)
KH정보교육원-유니티 튜터(`23)
게임문화교실 참여, 하인슈타인 참여(`22~`23)
위즈라이브-데이터 분석 과정, 앱 창작 과정 (`20~현재)
SSAFY-게임 코딩 과정/로봇 과정 (`21~`22)
용산꿈나무종합타운, 서초청소년도서관, 인천학나래도서관-메타버스 크리에이터 과정(`21~`23)
그 외 다수</t>
  </si>
  <si>
    <t>김종미</t>
  </si>
  <si>
    <t>한양대</t>
  </si>
  <si>
    <t>무역학</t>
  </si>
  <si>
    <t>CDT1급(18.2.15), 코딩지도사1급(23.3.16),인공지능교육지도사1급(21.3.5),메타버스교육지도사1급(22.3.2)</t>
  </si>
  <si>
    <t>인하대 잡스의 차고캠프강사(22~현재)
디지털새싹캠프(22~현재)
경기sw미래채움(20~22)
경기미래캠퍼스(20~22)
다수의초중고swai교육출강(18~현재)</t>
  </si>
  <si>
    <t>김정애</t>
  </si>
  <si>
    <t>컴퓨터과학과</t>
  </si>
  <si>
    <t>정보처리산업기사외 20여가지 이상 다수자격증보유</t>
  </si>
  <si>
    <t>초등 방과후 컴퓨터&amp;코딩 (2004~ 2024년)
청소년문화센터 4차산업관련 초중고 진로(2020~2023)
화성시 교육혁신지구 하길초외 초등sw ai  수업(2020~현재)
평택시일하기센터 sw교육강사 (2017~2018)
시흥시 새로일하기센터 ai sw자격증과정 지도강사(2023~)
그외 다수 초중고 소프트웨어지도강사</t>
  </si>
  <si>
    <t>배수현</t>
  </si>
  <si>
    <t>방송통신대학교</t>
  </si>
  <si>
    <t>교육학, 전산학(전문학사)</t>
  </si>
  <si>
    <t>평생교육사(2016.02.29) /코딩지도사 1급(2021.06.07)/3D프린팅디자인운용사 2급(2021.12.17)/로봇 지도사 2급(2021.12.19)/소프트웨어코딩 지도사(2022.09.30)컴퓨팅 사고력 보드게임지도사  1급(2023.06.19)</t>
  </si>
  <si>
    <t xml:space="preserve">주)포스텍시스템즈-프로그램 개발(1997.02 ~ 1999.02)		
의왕시 도서관-진로체험(2021.08.18~19)		
검단 도서관 -이야기코딩(엔트리 + 마이크로비트)(2021.08.26~ 09.16)		
부평중학교-엠봇2(2021.09.15)		
한가람초등학교-쪼물락코딩(2021.09.24~09.27)		
걸포초등학교-메이킹(2021.10.25)		
작전고등학교-사이버파이(2021.10.29)		
작전고등학교-python(2021.11.19)		
국제로봇콘테스트2021년도-인공지능 로봇 자율미션대회(2021.10.30)		
대한민국 공군 주최 2021년도 -온라인 무인항공기(드론)경연대회(2021.11.30)		
통진고등학교-오조봇문화투어(2021.12.29)		
경기꿈의학교 (2022년)-나는야 코딩메이커 (마퀸, 아두이노)(2022.06.11~08.27)		
내를 건너는 숲으로 도서관-코딩로봇과 함께하는 코딩교실 (로이)(2022.06.30~08.04)		
인천 청호중학교-인공지능 with entry(2022.11.29)		
인천 아라고등학교 (새싹캠프)-SW놀E터 상생의 AI, 로봇팔(TensorFlow)(2023.02.01 ~02.02)		
인천 이음초등학교 (새싹캠프)-DATA 놀E터 빅데이터 활용(2023.02.03 ~02.06)		
고양 내유초등학교(새싹캠프)-문화예술에 인공지능을 입히다(2023.06.12/06.19)		
김포 호수초등학교(새싹캠프)-톡톡! 손끝에서 시작하는 SW.AI(2023.06.16/06.23)		
당하 중학교-로봇팔(2023.07.13)		
서인천 고등학교-진로체험(건축가)(2023.07.18)		
멋쟁이사자처럼 (새싹캠프)-아두이노(2륜구동 라인트레이싱)(2023.08.13~08.27)		
대현초등학교 (색싹캠프)-마이크로비트 &amp; 마퀸(2023.08.21~08.24)		
고양 송산중학교-로봇공학자 진로수업(2023.09.06)		
고양중학교-로봇공학자 진로수업(2023.09.15)		
인천 가좌여중-할로코드(2023.09.25)		
갑룡초등학교(새싹캠프)-스크래치, 마이크로비트(RC카)(2023.10.11~12.06)		
적암초등학교(비즈쿨)-인공지능 키즈연구소-기초(2023.10.16)		
유현초등학교(비즈쿨)-나만의 글라이더 비행기 제작 프로젝트(2023.10.23)		
파평초등학교(비즈쿨)-내가 꿈꾸는 나의 미래 나의 명함(2023.10.30)		
수원청소년센터 -게임프로그래머 진로체험(코딩)(2023.11.11)		
금성초등학교(비즈쿨)-내가 꿈꾸는 나의 미래 나의 명함(2023.12.11)		
일산은행초(비즈쿨)-미래도시건설(2023.12.19)		
청호중학교(새싹캠프)-python기초, pygame(2023.11.02 ~ 12.28)		
한가람초등학교(방과후)-컴퓨터기초, OA활용, TIQ, 코딩(2023.03~ 현재)		
운정중학교자유학기수업 (코스페이스)(2023.08~2024.01.02)		
통진 청소년문화센터-정보화 과목(펀보드, 블럭코딩. 컴퓨터활용 OA)(2024.01~현재)		
이지코딩-블럭코딩, 파이썬, 로봇,  아두이노 등(2021.02~현재)		
</t>
  </si>
  <si>
    <t>정민혜</t>
  </si>
  <si>
    <t>학점은행제 공업전문학사</t>
  </si>
  <si>
    <t>정보처리학과</t>
  </si>
  <si>
    <t>코딩지도사1급 (2022-09)</t>
  </si>
  <si>
    <t>에프엔제이 디지털리터러시 안산형 광명형 강사 (2023.04~11) , 2023 디지털새싹강사 (인하대,에프엔제이,ebs,멋쟁이사자처럼)</t>
  </si>
  <si>
    <t>권지현</t>
  </si>
  <si>
    <t>동국대</t>
  </si>
  <si>
    <t>통계학</t>
  </si>
  <si>
    <t>AI-900 Microsoft Azure AI 기초(23.07)    AI 교육 콘텐츠 전문가 1급(21.12)   소프트웨어코딩지도사 1급(21.11)   인공지능교육지도사 2급(21.10)   동화구연전문지도사 3급(18.10)   창의성계발지도자(16.06)   인터넷정보검색사 2급(99.11) 정보처리기사 2급(98.09)</t>
  </si>
  <si>
    <t>■ 120여개 학교/센터 등에서 SWAI 수업(21년~현재)
 - 22년 23년 디지털새싹캠프 참여 (가천대학교 등)
 - 찾아가는 초/중/고 SW교육 수업 (서울교육대학교 부설초등학교 등)
 - 사회공헌 프로그램 SW교육 참여 (포스코 등) 
 - 도서관 SW교육 프로그램 (국립어린이청소년도서관 등)
■  IT기업 연구소 지원 업무(00년~13년)</t>
  </si>
  <si>
    <t>이미정</t>
  </si>
  <si>
    <t>인터넷전공</t>
  </si>
  <si>
    <t>cos-2023,정보처리기능사-1998,메타버스-202310, 보육교사자격증(2021)</t>
  </si>
  <si>
    <t xml:space="preserve">  4차산업교육 이수 후 디지털새싹, 메이커 진로수업, ai,메타버스 관련 강사로 수업 함(2023.06 ~현재)</t>
  </si>
  <si>
    <t>허진아</t>
  </si>
  <si>
    <t>산업디자인/아동학/복지학</t>
  </si>
  <si>
    <t>코딩지도사1급(23.06.23), 인공지능교육지도사1급(23.11.01), 메타버스교육지도사1급(23.11.01), 3D모델링지도사(타다크래프트)(발급중), 파이썬전문가1급(24.01.08)</t>
  </si>
  <si>
    <t>멋쟁이사자 디지털새싹 강사(23~현재)
맘이랜서 디지털새싹 강사(23~현재)
인하대 잡스의 차고캠프 강사(23~현재)
엘리스 디지털새싹 강사(23~현재)</t>
  </si>
  <si>
    <t>서지연</t>
  </si>
  <si>
    <t>부산경상대</t>
  </si>
  <si>
    <t>일본어과(빅데이터공학과재학중)</t>
  </si>
  <si>
    <t>2014.01.29  정보기술자격증(itq)  2022.06.07  AI코딩지도사   2022.06.16  방과후드론항공,방과후지도사,방과후공학코딩2급지도사  2022.10.22  AI로봇전문강사자격증  2023.01   인공지능융합메이커지도사</t>
  </si>
  <si>
    <t>2022.05~  AI,SW, 창의미래 4차산업 수업
2022.9~11 방과후강사
2023.01~  참다솜,인하대,블루컴,재능대,맘이랜서,알파코,등 디지털새싹
2023.02   특수학교,다문화센터
2023.09~10  은여울초 디지털튜터
2024.01~인천시 연수구 방과후아카데미강사</t>
  </si>
  <si>
    <t>방서연</t>
  </si>
  <si>
    <t>수원대학교</t>
  </si>
  <si>
    <t>식품영양학</t>
  </si>
  <si>
    <t xml:space="preserve">2023.07.14 Microsoft Certified: Azure AI Fundamentals 2023.06.20. PBL퍼실리테이터 2급  2023.06.02 메타버스전문가 로블록스창의융합코딩   2023.06.02 AI코딩지도사  2023.05.20 PSM 교육 지도사   2023.03.14 메타버스교육지도사 1급   2022.10.05 메타버스콘텐츠제작교육강사  2022.08.01 창의로봇코딩 마스터  2021.07.19 인공지능교육지도사 1급  2021.06.24 인공지능교육지도사 2급  2021.12.17 Sw코딩 1급 (엔트리)   2021.10.15 코딩창의개발능력 CDT 1급   2021.08.14 cos 스크래치 1급   2021.09.17 Sw코딩 2급 (엔트리)   2021.12.03 방과후창의메이커스 1급   2021.11.10 로봇지도사 1급   2021.11.13 민간드론조종자 1급 (지도자) 2021.08.03 코딩지도사 1급  2021.09.30 ITQ엑셀,한글,파워포인트 A급  2021.10.15 GTQ 포토샵 1급  2021.11.12 GTQ 일러스트 1급  2022.07.15 Graphic Design &amp; Illustration using Adobe Illustrator 2020  2022.07.22 Digital Video using Adobe Premiere Pro 2020  </t>
  </si>
  <si>
    <t xml:space="preserve">(한국여성과학기술인육성재단) 인공지능 콘텐트 지도사 양성과정 이수 
(여성인력개발센터)  SW 코딩 강사 양성과정 이수
(연수구청)인공지능융합메이커 강사 양성과정 이수
(인천테크노파크) 프로젝트기반 AI과정 이수
(경기도지사) 사물인터넷 융합메이커양성 이수
(군포문화재단)로봇코딩강사 양성 이수
23~현재 인하대 잡스의 차고캠프 강사
22~23년 디지털새싹 주강사
21~23년 SW.AI 4차산업 주강사
22~23년 실습형 인공지능 윤리교육 주강사
23년~24년 미래 디지털 교육 주강사
23년~23년 강남구 미래인재 중학교 주강사
23년~23년 강남구 미래인재 초등학교 주강사
22년~23년 유치원 코딩 로봇 강사
22년~22년 덕적중학교 AI 사물인터넷 자유학기제 주강사
</t>
  </si>
  <si>
    <t>정세정</t>
  </si>
  <si>
    <t>광주서영대학</t>
  </si>
  <si>
    <t>환경공학</t>
  </si>
  <si>
    <t>메타버스교육지도사1급.(22.3.10)인공지능교육지도사1급(21.3.2)4차산업혁명지도사2급(21.2.8)코딩지도사1급(2017.8.8)</t>
  </si>
  <si>
    <t>경기미래교육강사활동(2018~2023)
안양시초등sw교육(2019.4~10)
인천안남고.안양지역아동센터 (2020년)
인천고.신송초.김포한가람초.브이알특수교육실감체험(2021)
군포신흥초.서울본동초.중광초. 해누리초.김포시청소년수련원.부천상동초. (2022)
인하대잡스의 차고캠프강사(22.12월 ~현재)
부천도당초(2020년~2024년1월8일)
옥길산들초.청룡초.천왕초.인천해송중.만성중. 통상고(2023년)</t>
  </si>
  <si>
    <t>김현정</t>
  </si>
  <si>
    <t>경기대학교</t>
  </si>
  <si>
    <t>수학 및 전자계산학과 복수전공</t>
  </si>
  <si>
    <t>99.08.23 사무자동화산업기사/한국산업인력공단 99.08.06 컴퓨터활용능력 2급/대한상공회의소 22.07    메타버스교육지도사 2급/국제능력교육원 22.07.02 COS 2급(스크래치)/YBM 22.07    방과후 창의메이커스지도사/참다솜교육부설 평생교육원 22.07    방과후공학코딩지도사 2급/참다솜교육부설 평생교육원  22.10.22 COS 1급(스크래치)/YBM 22.12.01 SW 코딩자격 2급(엔트리)/한국생산성본부 22.12.01 SW 코딩자격 1급(엔트리)/한국생산성본부 23.06    드론교육지도사 23.06    컴퓨팅사고력보드게임지도사 23.08.13 COS pro 2급(파이썬)/YBM</t>
  </si>
  <si>
    <t>1999.11 ~ 2011.06 웹개발 및 앱개발
2022.04 ~ 2022.06 메타버스기반 디지털교육 전문강사 양성과정 수료
2022.05 ~ 2022.12 4차산업/창의미래 강의
2022.07 ~ 2022.12 디지털배움터 AI/코딩 강의
2022.11 ~ 2023.12 진로수업 강의(AI프로그래머, 앱개발자, 웹개발자, 로봇공학자 외 다수)
2022.12 ~ 2023.12 디지털새싹캠프 강의
2024.01 충암초 방과후캠프 강의</t>
  </si>
  <si>
    <t>김선원</t>
  </si>
  <si>
    <t>초대졸</t>
  </si>
  <si>
    <t>sw코딩자격(202303). OAmaster(202209)</t>
  </si>
  <si>
    <t>인해대 잡스의 차고캠프 강사(22.12~23.1)</t>
  </si>
  <si>
    <t>심유미</t>
  </si>
  <si>
    <t>학점은행제</t>
  </si>
  <si>
    <t>취득일자/자격증명/관련기관 순으로 작성  2001.04.16/정보처리기능사/한국산업인력공단 2023.11.11/AICE Future 3급/(주)KT 2023.11.06/프롬프트 스페셜리스트 자격증/(주)뤼튼테크놀로지스 2023.11.06/프롬프톤 지도자 자격증/(주)뤼튼테크놀로지스 2023.06.26/기후변화교육전문가2급/미래직업협회 2023.06.20/구글웍스활용전문가1급/한국미디어창업연구소 2023.04.25/인공지능(AI)코딩지도사 1급/미래직업협회 2022.12.18/무인동력비행장치4종/한국교통안전공단 2022.10.25/메타버스교육지도사 1급/미래직업협회 2021.07.19/인공지능교육지도사/미래직업협회</t>
  </si>
  <si>
    <t>2022.09 ~ 진행중 초, 중, 고 (경기,서울)
메타버스
기후변화, AR, VR, 스마트AI, 코스페이시스,햄스터AI,제페토, 
2022~2023 디지털새싹
강사 : 초 중 고 방문형 디지털새싹 캠프 참여
2023.10 ~ 2023.12 초, 중, 고 (경기)
청소년 SW.AI 교육 프로그램
2023.05 ~ 진행중 초,중,고,성인
디지털배움터
디지털 기초, 심화, 생활, 특별 강의
2023.08 ~ 진행중 정왕아이누리센터
SW. AI 코딩교육
SW AI 메타버스 강의 블록코딩, 코스페이시스, AR, VR, 엔트리
학교당 1회수업이 2회차 이상 ~ 24회차, 센터인경우는 더 많은 회차로 수업을 진행하고있습니다.
자세한 사항은 https://tryeverything.modoo.at/ 확인해주세요</t>
  </si>
  <si>
    <t>박권미</t>
  </si>
  <si>
    <t>서원대학교</t>
  </si>
  <si>
    <t>과학교육과</t>
  </si>
  <si>
    <t>교원자격증 (03.02)</t>
  </si>
  <si>
    <t>디지털새싹(22.12~현재)
인천창의미래교육(21.4~23.12)
인천청담고등학교 (18.3~현재)</t>
  </si>
  <si>
    <t>김성중</t>
  </si>
  <si>
    <t>인하대 잡스의 캠프</t>
  </si>
  <si>
    <t>중앙대학교</t>
  </si>
  <si>
    <t>기계공학</t>
  </si>
  <si>
    <t>코딩지도사('17),로봇지도사('18),인공지능지도사('23)</t>
  </si>
  <si>
    <t>디지털 새싹('23~현재)
창의미래교육_인천 강사('18~'21,'23)
디지털리터러시_안산 강사('22~'23)
창의융합교육_광명 강사('23)</t>
  </si>
  <si>
    <t>박선아</t>
  </si>
  <si>
    <t>백석대학교</t>
  </si>
  <si>
    <t>영상애니메이션</t>
  </si>
  <si>
    <t>컴퓨터그래픽스운용기능사 (2002.07.01) 정보처리산업기사 (2005.06.13) 컴퓨터프로그래머 (2015.02.20) 방과후학교스크래치융합코딩지도사(2017.2.18) 코딩 specialist(2017.7.22) 소프트웨어코딩지도사(2017.11.15) sw코딩자격1급 (2018.11.05) 주니어유튜버지도사(2020.02.21)</t>
  </si>
  <si>
    <t>서이초,과천초,귀인초방과후컴퓨터강사(2007-2015)
신백현초,중일초방과후컴퓨터(코딩)강사(2016-2022.02)
안양인천지역 6학년실과코딩 (2019-2023)
찾아가는sw창의체험, 진로체험교육(2021-현재)
한국과학창의재단 디지털새싹(2022.12-현재)</t>
  </si>
  <si>
    <t>최연숙</t>
  </si>
  <si>
    <t>유한대학교</t>
  </si>
  <si>
    <t>산업디자인</t>
  </si>
  <si>
    <t xml:space="preserve"> 2023.07.03 SOB 글로벌코딩 엠블럭과정, 2023_06.19~30 SOB 파이썬코딩 강사양성, 2023_05.30 빅데이터전문가, 2023_04.26  AI코딩지도사자격증, 2022_04_03 드론교육지도사 2급, 2022_04_03 스마트 인지능력 지도사 2급, 2022_03_03 SW코딩자격 2급, 2021_11_08 로봇코딩자격증, 2021_09_06 무인동력비행장치(무인멀티콥터) 4종, 2016_01_08 국가공인 DIAT 디지털정보활용능력 스프레드시트, 2015_01_16  국가공인 DIAT 디지털정보활용능력 프리젠테이션, 1999_02_23 교원자격증(실기교사디자인) 2급</t>
  </si>
  <si>
    <t>2023.03.10.~ 현재: 일산 YMCA/ 키즈코딩, 돌봄 과학교육/로봇키즈코딩
2022.03.28 ~    2022.12.15: 경기디지털배움터/ FNJ/디지털역량강화
2022.12 ~ 현재: SWAI디지털새싹강사(마루한,모두의연구소,로보티즈,이티에듀,다인 등)/SWAI 인공지능교육
2022.06.15. ~    2023.01.25: 작전홈플러스/ 생활과학강사/지역아동 생명과학, 실험과학 및 교과과학교육 
2022.05.19. ~    2022.11.03:경기 꿈의학교 게임개발자교육프로젝트/포토샵과 컨스트럭트를 이용한 게임개발
2022.03.16. ~    2022.02.07: 아름솔, 바다의별유치원/ 키즈코딩/비누를 이용한 언플러그드 코딩, 3d펜
2022.04 ~ 2023.01: 인천, 안산 4차산업 창의미래교육 강사/교구 및 코딩,인공지능 교육
2021.10 ~현재: 마루한,참다솜,토이디렉터,로보티즈,학교네,코링코링,fnj 등/4차산업 교구교육 및 진로체험 강의</t>
  </si>
  <si>
    <t>황수미</t>
  </si>
  <si>
    <t>문일여고</t>
  </si>
  <si>
    <t>ai학부 빅데이터공학과 재학중</t>
  </si>
  <si>
    <t>방과후 창의메이커스 지도사(22.03), 방과후 공학코딩 지도사 2급(22.03), cos (스크래치) 2급(22.06), 소프트웨어 코딩지도사(22.09), 메타버스 교육지도사 1급(23.03), 인공지능교육지도사 1급(23.03), 드론교육지도사 1급(23.06) ,컴퓨팅사고력보드게임지도사 1급,(23.06)</t>
  </si>
  <si>
    <t xml:space="preserve"> 웹에이젼시 웹개발(07.11~11.01),판도라티비,빅파일,kbsn(웹,스마트티비연동,팟캐스트등개발12.04~16.)한국인터넷센터 웹팀 팀장(,16~17 ) 4차,진로 강사(22~현재)</t>
  </si>
  <si>
    <t>박은영</t>
  </si>
  <si>
    <t>경영과</t>
  </si>
  <si>
    <t>로보코딩마스터(16.11.18)스마트코딩지도사(18.07.17)인공지능교육지도사(20.11.02)인공지능지도사(21.01.05)메타버스교육지도사(22.09.22)드론지도사(16.08.12)융합메이커교육지도사(23.03.24)드론교육지도사(23.03.24)AI코딩지도사(23.04.26)SOB파이썬자격증(23.06.23)SOB블럭코딩자격증(23.07.13)빅데이터전문가(23.09.12)</t>
  </si>
  <si>
    <t>초등방과후강사(12~현재)인천창의미래교육강사(20~현재)SW.AI강사(20~현재)원동초sw강사(22~23)인하대잡스차고캠프강사(22년)재능대디지털새싹강사(22년)마루한사회적협동조합디지털새싹강사(22년)</t>
  </si>
  <si>
    <t>이명주</t>
  </si>
  <si>
    <t>수원여자대학</t>
  </si>
  <si>
    <t>컴퓨터응용, 아동학</t>
  </si>
  <si>
    <t>실기교원자격증(01.02.03) 보육교사자격증, 정보처리기사(05.06.13), sw코딩자격1급(18.03.28),통합글라우드마스터(19.05.08)</t>
  </si>
  <si>
    <t>안양부안초등학교 방과후강사(01~09년)
돌마초등학교 방과후강사(11~13년)
의왕초등학교(15~23년)
평촌경영고등학교(21~23년)
인하대잡스의 차고캠프강사(23~현재)</t>
  </si>
  <si>
    <t>박유나</t>
  </si>
  <si>
    <t>강남대학교</t>
  </si>
  <si>
    <t>초등특수교육/유아교육</t>
  </si>
  <si>
    <t xml:space="preserve"> sw 코딩자격 2급(23.07.27)  인공지능교육지도사 1급(23.08.10), 메타버스교육지도사 1급(23.08.10), ITQ(한글,파워포인트,엑셀) 정보기술자격 (A)(18.09),  특수학교(초등)정교사 2급(10.02.19),  유치원정교사 2급(10.02.19), </t>
  </si>
  <si>
    <t>비즈쿨강사(23.10~23.12)fnj 강사(23.08~23.12), 미래직업협회강사(23.09~24.01) 멋쟁이이사자(23.12~24.02) 한양미래연구소(23.12)</t>
  </si>
  <si>
    <t>김연진</t>
  </si>
  <si>
    <t>서울시 G밸리 4차산업체험관 팀장</t>
  </si>
  <si>
    <t xml:space="preserve">이화여자대학교 일반대학원 </t>
  </si>
  <si>
    <t>융합코딩 전문강사 1급(아두이노, 2023.11), COS1급(2023.11), 초경량비행장치조종자 자격증(2023.08)외 다수</t>
  </si>
  <si>
    <t>서울시 G밸리 4차산업체험관 기획팀장/전문강사, 서울시 양천50플러스센터 코딩강사, 서울시 금천50플러스센터 코딩강사, 서울시 양천구 플레이스템 러닝센터 전문강사, 인하대 잡스의 차고캠프 강사</t>
  </si>
  <si>
    <t>류재영</t>
  </si>
  <si>
    <t>식품공학과</t>
  </si>
  <si>
    <t>엔트리2급(230727), 메타버스지도사(23.11),인공지능지도사(23.11),사회복지사(23.04)</t>
  </si>
  <si>
    <t>FNJ강사(23.08~현재), 엘리스 디지털새싹(23.09~현재), 비즈쿨(23.10~12),미래직업협회(23.08~현재), 마루한(23.09~12),인하대 디지털새싹(23.10~),한양미래연구소(23.12),한국교육협동조합(23.09~현재)</t>
  </si>
  <si>
    <t>오은영</t>
  </si>
  <si>
    <t>문성대학교</t>
  </si>
  <si>
    <t>코딩2급(23.2.2),ITQ엑셀(22.10.27), 인공지능 지도사2급,메타버시 지도사2급(23. 05.16), 로봇지도사(22.11.19), 코딩지도사.메이커스지도사,3D프린터지도사(20.12.03)</t>
  </si>
  <si>
    <t>인천,경기, 서울 코딩, 인공지능, 자율자행강의 (2020~현재)
도서관 자율주행 강의 -동탄이음센터, 광명도서관, 은평도서관 (2021~현재)
연희 청소년센터 인공지능 강의 (2022 )
한양대 에리카 사업 안산 수업( 2022)
~경기 서울 인천(이티에듀,재능대,코코아팹, 차세대기슬연구원, 멋쟁이사자처럼, 찹다솜,알파코.. )디지털새싹 강의( 2023~)
인천과학정보원 AI.SW 강의 (2023)
 서대문구 진로센터 지니어스 스마트팜 강의 (2023)</t>
  </si>
  <si>
    <t>윤선영</t>
  </si>
  <si>
    <t>경희사이버대학교</t>
  </si>
  <si>
    <t>ICT융합컨텐츠/컴퓨터정보통신공학</t>
  </si>
  <si>
    <t>COS-코딩활용능력평가 1급(17.12),  피지컬컴퓨팅전문가 1급(18.07),  언플러그드코딩지도사(18.07),  3D프린팅운용기능사(21.07)</t>
  </si>
  <si>
    <t xml:space="preserve">(주)쏘몬 모바일보안서비스 개발(08~10)
(주)모빌탑 삼성전자ADS모바일플렛폼 엔진개발(03~07)
인천대 과학영재교육원 초등 ICT/SW소양교육(20.01~현재), 
인천대 메이커스페이스 고등미래창의메이커(22.05~현재), 
인천시 교육청 그린스마트스쿨(22.11~현재), 
인천시 간재울초등학교 방과후코딩로봇(19.03~22.02),
인천시 개흥초, 산곡초 인공지능SW (22~23)
인천시 산곡고.초은고등학교 C언어동아리(22)
</t>
  </si>
  <si>
    <t>인경미</t>
  </si>
  <si>
    <t>한세대학교</t>
  </si>
  <si>
    <t>코딩 전문가 1급('18.05.15), 3D프린팅 전문가 1급('18.06.02),피지컬 컴퓨팅 전문가 1급('18.07.01)</t>
  </si>
  <si>
    <t>인하대 잡스의 차고캠프 강사('22.12~'23.01)
인천가원초등학교 방과후 강사('19.06~현재)
인천백운초등학교 방과후 강사('21.06~'22.09)
인천대 과학영재교육원 기초소양교육(ICT/SW) 강사('21.01~'24.01)</t>
  </si>
  <si>
    <t>이정은</t>
  </si>
  <si>
    <t>부천대학교</t>
  </si>
  <si>
    <t xml:space="preserve">산업디자인과/ICT융합콘텐츠 전공 </t>
  </si>
  <si>
    <t>소프트웨어교육전문가 2급(17.11) 청소년진로교육지도자(16.05) 인공지능교육지도사 1급(20.03) 메타버스교육지도사 1급 (21.12)  고양청소년진로센터 청소년진로지도자('16~'20) 과학창의재단 주관 찾아가는 SW캠프 교육강사('16~'18)</t>
  </si>
  <si>
    <t>고양청소년진로센터 청소년진로지도자('16~'20)
과학창의재단 주관 찾아가는 SW캠프 교육강사('16~'18)
화정중학교 자유학기제 SW동아리 운영 ('17 ~ '21)
경기도 고양시청 마을강사로 활동 ('18~'22)
미래직업협회 주관 전국 학교 SW캠프('20 ~ '22)
경기도교육청 미래교육캠퍼스_SW창의교육강사('20 ~ '23)
2023년 디지털 새싹 강사로 활동(23~현재)
현 SW진로융합 미래교육 강사로 다양한 기관과 파트너강사로 활동중('20~ )</t>
  </si>
  <si>
    <t>김가나</t>
  </si>
  <si>
    <t>안산대학교</t>
  </si>
  <si>
    <t>전자계산</t>
  </si>
  <si>
    <t>정보처리산업기사(08.8.18)</t>
  </si>
  <si>
    <t>인하대 디싹('22.12~현재)
안양 코딩('22.6~'23.12)
초중고 방과후 코딩('17~현재)
방과후 컴퓨터 및 코딩('05~현재)</t>
  </si>
  <si>
    <t>곽성미</t>
  </si>
  <si>
    <t>세명대학교</t>
  </si>
  <si>
    <t>일문어,교육학전공</t>
  </si>
  <si>
    <t>블록지도사 자격증(2019. 04. 25) SW코딩자격 1급(2018. 12. 26) 코딩창의개발능력(2016. 11. 29) 방과후학교지도사 1급(2013. 12. 06) 모바일앱개발전문가(2010. 06. 17) DIAT공인강사자격증(2010. 05. 14) DIAT한글, 파워, 엑셀, 멀티미디어제작(2010. 05. 14) ITQ한글, 파워, 엑셀, 인터넷정보검색(2010. 06. 24) 컴퓨터활용능력 2급(2002. 07. 03) 정보처리기능사(2000. 10 .23) 정보기기운용기능사(2000. 12. 01) 보육교사자격증(2022. 02. 22)</t>
  </si>
  <si>
    <t xml:space="preserve">방과후 컴퓨터강사(10년~현재)
아카데미소프트사 2020ITQ한쇼 저서(19년)
한국인재교육평가원 코딩(22년~현재)
㈜에이다코딩랩(23년)
인하대 잡스의 차고 캠프(22년~현재)
한세대 캠프(22년)
멋쟁이사자처럼(24년~현재)
이티에듀(22년~현재)
</t>
  </si>
  <si>
    <t>백지원</t>
  </si>
  <si>
    <t>대구가톨릭대학교 졸업</t>
  </si>
  <si>
    <t>컴퓨터공학과</t>
  </si>
  <si>
    <t>2001.6.20 Microsoft 국제 자격증 - MCP 2001.10.30 Microsoft 국제 자격증 - MCSE,MCDBA 2003.06.09 한국산업인력공단 - 정보처리기사 [자격증 번호 : 03201041058R] 2019.06.13 YBMIT - Coding Specialist 1급(scratch) [자격증 번호 : 19_S1_1884864] 2019.7.31 ㈜네오피아 - 코딩지도사 1급 [자격증 번호 : NEO-CI-1907-0139], 로봇지도사 2급 [자격증 번호 : NEO-RI-1907-0514], 블록지도사 2급 2019.09.13 한국교육능력진흥원 - 드론교육지도사 2급 [자격증 번호 : 219-DEI11060251M] 2020.08.28 메이크블록 - 메이크블록(엠블록)스팀온보드 온라인 트레이닝 국제자격증 삼원청소년문화진흥원 - 생명,항공 교육지도 강사 자격증 삼원청소년문화진흥원 - 과학탐구 지도자 자격증 2020.06.05 (주)마이크로컴퓨팅 -주니어 유튜버 지도사 자격증 [자격증 번호 : 제2020-000587호] 2021.02.08 에듀포털 - 4차산업혁명교육지도사 1급 [자격증 번호 : 제2017-3298호] 2021.01.05 에듀포털 - 4차산업혁명교육지도사 2급 2021.03.02 미래직업협회 - 인공지능교육지도사 1급 [ 제2020-003908호] 2023.3.10 한국인공지능교육협회 - 인공지능교육콘텐츠전문가2급  [ 제CA-23036호] 2023.06.30 YBMIT - CSPRO Python 2급 [23_P2_2306272]</t>
  </si>
  <si>
    <t>2023.1.9 ~ 이티에듀 디지털새싹
2023.10 ~ 2023.12  비즈쿨 찾아가는 체험교육 초등컴퓨팅교사협회
2023.09  2023 (주)네패스 코코아팹 / sk하이닉스 하인슈타인
2023.10.13 ~ 2023.12.22  평택 복창초(6학년 소프트웨어 교육) 아두이노 IOT, 인공지능 로봇코딩 RO-E 수업
2023.11.09 ~ 12.26    TMD 강남구 디지털 미래인재 프로젝트
2023.09.21   인천재능고 앱인벤터 캠프(챗GPT 챗봇 만들기)
2023.08 ~    차세대융합기술연구원 디지털새싹 주강사(인공지능 코딩카 제론,스마트 모빌리티(메카넘휠))
2023.08.29 ~ 2023.12.20     동탄 서연초(5학년, 6학년 인공지능 교육) 자율주행자동차(DIYGO 모빌리티)
2023.06~ 2023.12   디랩코딩아카데미강사 (파이썬, C, 아두이노)
2023.05.30 ~ 2023-06.30   전북미래채움강사양성과정 에듀코치
2023.04.07.~06.23 이티에듀 인천여자고등학교 오렌지3 데이터마이닝
2023.03~ 2023.12  화성시자유학년제   인공지능전문가 
2023.10.19~ 10.31    과학기술정보통신부, 한국지능정보사회진흥원 주관 / SW여성인재역량강화 기반조성교육 코듀에이스7기 강사양성과정 교육멘토
2023.07.07~ 07.10    죽산고등학교 특성화교육 / 메타버스 크리에이터(제페토) 및 인공지능 전문가
2023.04.11~ 07.11    죽산고등학교 특성화교육 / 아두이노 G봇
2023.01.04 ~ 2023.02.09 인천재능대  AI.SW캠프 소속 강사
2023.01.17 ~ 2023.02.14 차세대융합기술연구원 디지털새싹 주강사(엠봇)
2022.12.28일 ~ 2023.02.28  인하대학교 AI.SW캠프 소속 강사
2022.12.19 시큐러티플러스 안성고등학교  데이터분석가 직업체험
2022.12.08 비봉중학교 항공과학
2022.11.26 기업가정신  한양대에리카
2022.11.11 시큐러티플러스 부천원미고등학교  데이터분석가 직업체험
2022.11.4  상상코딩  미림여자고등학교  웨어러블디바이스
2022.11.2 드림패밀리 두루고 인공지능
2022.10.26~12.5 한국융합교육개발원 진로체험(아두이노 자율주행RC카,엠봇)
2022.10.24 화성시 자유학년제 화도중 인공지능전문가
2022.10.21 마루한 아라고 진로체험(핑퐁,알파미니,사이버파이)
2022.10.18 마루한 백석고 진로체험(핑퐁,알파미니,사이버파이)
2022.10.11~12 비봉중학교 항공과학
-2022.09.19~09.29 안산 상록고등학교 자율주행RC카
2022.08.26 마루한 인천 AI융합교육 중심고등학교 연합 학생 캠프
2022.07.05~07.08 메타버스 (24h)  라이텍
** 2021.12~2022.06 연세대학교 자연과학연구원 유전자분석 업무
2021.09.25.~10.03 이티에듀 Let's learn AI
-2021.09.11.~12 용산전자랜드 메타버스 크리에이터
-2021.09.13 오산고 마스크소독기
- 2021.09~ 2021.12 기흥초, 호연초 방과후컴퓨터
2021.09~ 2021.12 차세대융합기술연구원 진로체험
2021.08.21~22 초은고 엠봇2 자율자동차
2021.08~2021.12 소상공인 디지털전환강사 /한국생산성본부
2021.06.30.~2021.07.02. 충청지역 IOT전문가 Summer School 아두이노 앱 만들기(26시간)
2021.06.28.~현재 찾아가는 코딩교실(안양)
2021.06.03.~ 9.24 현재 찾아가는 코딩교실(경기)
2021.05.21~06.18 미래직업협회 미래체험 스마트폰AI, VR/AR수업
2021. 03 ~2021.07  능동고 미디어콘텐츠 
2021.02.22~26 마이크로파이썬 25시간(신진과학기술고등학교)
2020.12.1,2,8일 여량중 찾아가는 메이커(코코아팹)
2020.11.23.~ 마이크로비트 챌린지 기술서포터 
2020.11.10.~ 25일 광운대학교 광운창작소 웨어러블 업사이클 성인반
2020.11.12~12.3 군포메이커스페이스 메이커기초교육(할로코드와 함께하는 인공지능)
2020.10.20.~11.06 동탄중앙이음터 우리가족보드말 만들기(틴커캐드 3D프린터)
2020.10.06 송일초 4차산업미래체험 웨어러블 수업
2020.09.07~2021.01.31 디지털역량강화 강사 / 한국지능정보사회진흥원(NIA)
2020.09~ 2020.12.4 차세대융합연구원 학교밖생활과학 SW(3D과학메이커, 아두이노, 항공, 과학, 할로코드 강사)
2020.06.17~2021.07.31 소화초 항공드론(동아리,방과후학교) 강사
2020.1.14.~1.31 동탄이음터 ICT 겨울 메이커캠프 강사(마이크로비트,3D모델링)
2019.11.13.~15 송도 송일초 미래체험수업 웨어러블 
2019.12.2 차세대융합기술연구원 생활과학교실 공로상 수상
2019.10.2~12.30 차세대융합연구원 학교밖생활과학 SW(3D메이커강사 3D메이커,코딩)
2019.10.08.~11.12일 동탄중앙이음터 ICT 3D펜과 오토마타를 활용한 창의과학
2019.10.18. 공공청소년수련시설 프로그램 “내꿈Job아” 아두이노 중학생코딩수업
2019.7.20.,27 동탄중앙이음터 ICT 오토마타 초등수업
2019.7.15.~16 동탄중앙이음터 ICT 웨어러블 성인수업
2013.03~2016.02 대도초 방과후 컴퓨터
2008.06~2010.05 당촌초,상대원초 방과후컴퓨터
2004.07～2005.04 비엔티솔루션에서 asp,SQL db를 설계해서 국립산림과학원 홈페이지개발.
2001.04～2004.06 Pci Technology에서 vb,asp,SQL DB설계.</t>
  </si>
  <si>
    <t>강문주</t>
  </si>
  <si>
    <t>대림대학교</t>
  </si>
  <si>
    <t>전자계산과</t>
  </si>
  <si>
    <t>정보처리산업기사 2급(97.12.22)</t>
  </si>
  <si>
    <t>방과후 강사 - 컴퓨터&amp;코딩부(98~현재)
코딩 강사(22~현재)
인하대 잡스 차고캠프 강사(23~현재) - 주강, 보조</t>
  </si>
  <si>
    <t>김미영</t>
  </si>
  <si>
    <t>서울과학기술대학교</t>
  </si>
  <si>
    <t>미술학부 도예학</t>
  </si>
  <si>
    <t>인공지능교육지도사(20210302) SW코딩자격취득지도사(20180914)  4차산업혁명교육지도사(20210105) 디지털미디어 리터러시(20230515) 메이커교육운용사(20180223) 창업.창직진로지도사(20170221) 진로교육지도자(20160520)</t>
  </si>
  <si>
    <t>인공지능 피지컬 컴퓨팅 강사(16~현재) 
디지털미디어  리터러시교육(23~현재) 
경기평생교육 진흥원 강사(20~현재) 
성남 폴리텍 대학  위탁교육처 IoT.sw학과 전공 실기 지도교수(20~현재) 
재능고 앱인벤터 코딩 강사(21년부터 단기 캠프 운영)
서울. 경기 초중고 sw코딩 강사(17~현재) 
고양시 일산 청소년재단 융합메이커 강사(17~현재)</t>
  </si>
  <si>
    <t>이선호</t>
  </si>
  <si>
    <t>동양미래대학</t>
  </si>
  <si>
    <t>건축</t>
  </si>
  <si>
    <t>파이썬마스터2급(23.12.01) 메타버스 교육지도사(23.11.01)  인공지능 교육지도사(23.11.01)  SW코딩자격_엔트리(23.07.27)  AI.SW 코딩교육전문가 양성과정 수료(23.07.26)</t>
  </si>
  <si>
    <t>파이썬_16차시_청호중(23.11.02.~12.28) 
마퀸+마이크로비트_16차시_숭덕초(23.10.18~
11.29) 
피지컬컴퓨팅(아두이노,엠봇2,알파미니,마이크로비트,허스키렌즈) _총26차시_호원초,인성여중,문남초,도덕초,작전고,경원초,인천디지털교육센터,부흥초,이호초,송일초(23.09월~12월) 
메타버스,인공지능,GPT _총33시간_곡선초,검암중,감일중,강화여중,불로중,용마초,신장중,토당초,일산동중,도곡중(23.09월~12월)</t>
  </si>
  <si>
    <t>백선희</t>
  </si>
  <si>
    <t>방송통신대학교,삼육대학교</t>
  </si>
  <si>
    <t>청소년교육</t>
  </si>
  <si>
    <t>메타버스지도사2급(2021.12.08) Fusion360 ACU(2020.12.09) 3D 프린팅 모델링 자격(2020.07.31) 3D 프린터 운용기능사(2019.12.30) 로봇과학 지도사(2019.02.15) 3CT코딩강사 1급(2017.07.17) ITQ 한글, 파워포인트, 엑셀(2016.07.28) 정보처리기사(2006.06.05) 전자상거래 관리사(2002.11.28)</t>
  </si>
  <si>
    <t>디지털새싹 – 경기대, 호서대, 용인대, 맘잡고, 이티에듀, 멋쟁이사자, TMD교육, 조은에듀 교육강사(2022.12~현재)
강남미래센터 – 로봇코딩, 메타버스 교육강사 (2022.12~현재)
두메이커 – 경기도 미래캠퍼스 진로체험강사, 진로체험부스운영,(2020.07~현재)
양천구 스마트 학습관 – 로블록스 교육강사,(2022.08~2023.12)
인덕대 평생교육원 – 코딩자격증과정 강사(2022.10~11)
재능고등학교 – SW교육 진로캠프 (앱개발)(2022.10.1.9)
TMD – 미꿈소 교육강사(2022.03~현재)
코드클럽 – LTI 게임개발자 강의(2022.07)
문산청소년 문화의집 – 아두이노 교육강사(2022.08)
하이코두 – 도서관연계 SW교육강사 (2022.05.14.~2022.12)
경기도교육복지종합센터 – 가상현실 컨텐츠 만들기 온라인 교육(2021.10~2022.03)
구리 청소년 수련관 – 실감형 컨텐츠 만들기(코스페이시스)(2021.07~2021.11)
코코아팹 –개롱초, 광양제철남초, 이수초, 옥수초, 해마루초 SK하인슈타인 교육강사(2021.09~2022.12) 
SW 미래교실 교육 – 한산초, 신당초, 불암초(2021.05~2022.12)
SK 하인슈타인 교안 교재 집필(2022.07)
에이럭스 - 서울 디지털 역랑 사업강사,(2021.05~2022.12)
프로보 - 경기 디지털 역랑 사업강사(2020.07~2021.03)
자유학기제 강사 – 화곡중, 경희여중, 노곡중, 숭인중, 중계중, 대광중 등(2021~현재)
이티에듀 - 미래와 소프트웨어 꿈찾기 캠프 강사 (코스페이시스)(2021.02~04)
이티원 - 이티원 미래창의교육 강사진(2020.10~현재)
성동4차산업체험센터 - 4차산업 체험교육 강사진(2020.08~현재)
꿈의학교 로봇메이킹스쿨 - 꿈의학교 운영진 및 강사,(2020.06~12)
풍납창의마을 – SW교육 체험강사,(2019.08~12)
코드클럽 라즈베리파이, VR 분과위원 – 라즈베리파이, 코스페이시스 교육컨텐츠 연구 및 교육,
게임리터러시강사 – 동대부중, 종암중, 중계중, 신도초, 고양제일중, 청소년의숲 등,(2017~현재)
방과후강사 – 늘푸른 초등학교, 한신초, 숭곡초 등(2017~현재)
일본어뱅크, 태창가족 외 웹개발 웹디자인 경력(2000.06~2004.06)
두소프트 웹개발 경력 (2004~2006.02)
건양대 산학협력단 개발경력 (2016.07~2017.03)</t>
  </si>
  <si>
    <t>이신애</t>
  </si>
  <si>
    <t>글로벌융합코딩</t>
  </si>
  <si>
    <t>McCormick Theological Seminary</t>
    <phoneticPr fontId="2" type="noConversion"/>
  </si>
  <si>
    <t>목회학, Master of Divinity</t>
  </si>
  <si>
    <t>메타버스교육사1,2급(22'11월), 인공지능1,2금</t>
  </si>
  <si>
    <t>함헌초, 장곡초, 도일초, 서해중, 연성중, 시흥고, 서희 아파트 도서관, 소래빛도서관 등에서 코딩, SW, IT, AI 수업함</t>
  </si>
  <si>
    <t>강채윤</t>
  </si>
  <si>
    <t>교육학</t>
  </si>
  <si>
    <t>2023년인공지능지도사,메타버스지도사,코딩지도사,파이썬지도사</t>
  </si>
  <si>
    <t>드림메이커 코딩강사(23'~현재)
강화중,검단중,도곡중  :코딩,인공지능,메타버스 강의(23')
마산고며타버스강의(22')</t>
  </si>
  <si>
    <t>김은정</t>
  </si>
  <si>
    <t xml:space="preserve">수원과학대 </t>
  </si>
  <si>
    <t>사회복지학</t>
  </si>
  <si>
    <t>코딩지도사1급/20220306</t>
  </si>
  <si>
    <t>인하대 잡스의차고캠프 강사(23~24)
디지털새싹늘봄 (23~)
안산 디지털역량강화교육(23~)
의왕시 디지털역량강화교육(23~24)</t>
  </si>
  <si>
    <t>임현진</t>
  </si>
  <si>
    <t>스마텍트</t>
  </si>
  <si>
    <t>광주대학교</t>
  </si>
  <si>
    <t>전자계산학</t>
  </si>
  <si>
    <t>SW코딩, 인공지능1급 메타버스1급, Kpc정보기술전문강사</t>
  </si>
  <si>
    <t>디지털배움터</t>
  </si>
  <si>
    <t>조수현</t>
  </si>
  <si>
    <t>목원대학교</t>
  </si>
  <si>
    <t>컴퓨터공</t>
  </si>
  <si>
    <t>메타버스/인공지능 지도사 (2023.09.18) 파이썬마스터(2023.12.01) SW코딩교육 (엔트리)(2023.07.27) SW교육 지도사 (2023.05.24 정보처리기사 (2003.06.09)</t>
  </si>
  <si>
    <t>SW/AI 융합 코딩 강사 (23.07 ~ 현재)
디지털 배움터 (23.07 ~ 23.11)
관내 초/중 및 도서관 강의 (22.08 ~ 23.09)
초록마을 EC운영팀 (08.03 ~ 13.04)
SI업체 개발자 (JAVA) (01.12 ~ 07.12)</t>
  </si>
  <si>
    <t>구현영</t>
  </si>
  <si>
    <t>동양공업전문대</t>
  </si>
  <si>
    <t>시각디자인</t>
  </si>
  <si>
    <t>교원자격증 (04.2.28)  드론국가자격증1급 (19.7.10) 컴퓨터활용능력 2급 (20.12.11) ITQ 정보기술(한글,,엑셀,파워) A등급 (21.2.25) 워드프로세서 1급 (06.3.24) 컴퓨터그래픽스운용기능사 (04.1.31) 드론지도사 (16.8.12) 스마트코딩 (18.7.17) 로봇코딩자도사1급 (23.11.01) AI교육자도사1급 (23.11.1)</t>
  </si>
  <si>
    <t>창의재단 디지털새싹캠프 주강사 (‘23.1~현재)
디지털배움터 역량강화 디지털수업 (’21.4~현재)
창의미래 진로체험 주강사 (‘21.4~현재)
안산,광명형 디지털리터러사 주강사 (’22.4~현재)
아두이노 피디컬컴퓨팅 주강사 (23.6~현재)
경기,서울소재 초등 드론전문강사 (16.3~현재)
경기,서울소재 유치원 로봇전문강사 (14.3~15.12)</t>
  </si>
  <si>
    <t>김은희</t>
  </si>
  <si>
    <t>도예학과</t>
  </si>
  <si>
    <t>구글 TSA트레이너역량평가(2024년 1월 15일) 구글공인교육전문가 2급(2024년 1월 15일) 구글공인교육전문가 1급(2024년 1월 15일) 메타버스콘텐츠디자이너3급(2022년 7월 2일) 메타버스교육지도사1급(2022년 3월 15일) 인공지능교육지도사(2021년 2월 9일) 4차산업지도사1급(2020년11월9일) 코딩교육지도사(2020년1월12일)</t>
  </si>
  <si>
    <t>24새싹_아두이노 RC가 만들기 인천재능고등학교(2024년 1월 )
23새싹_멋쟁이사자처럼_아두이노 구일초등학교(2023년 12월)
자율주행 자동차 만들기 신구초등학교(럭스로보)(2023년 12월)
우리가 살아가야할 미래도시 비즈쿨(2023년 12월)
새싹_코코아팹_이지메이커 과학실험으로배우는 인공지능 미성초등학교(2023년 11월)
새싹 코듀로 게임만들기 우리동네 지킴이 금북초등학교(2023년 11월)
새싹_멋쟁이사자처럼_기초아두이노 개포초등학교(2023년 11월)
새싹 퀴즈게임개발하기 연가초등학교(2023년 11월)
새싹 내목소리로 동영상 만들기 숭례초등학교(2023년 11월)
새싹_나만의 아두이노 작품만들기 길원초등학교(2023년 10월)
새싹 퀴즈게임개발하기 멋쟁이사자처럼(2023년 10월)
새싹 내목소리로 동영상 만들기 자운초등학교(2023년 10월)
새싹_멋쟁이사자처럼_기초아두이노 강남초등학교(2023년 10월)
럭스로보 자율주행자동차 우솔초등학교(2023년 9~10월)
하인슈타인코스페이시스 대송중학교(2023년 9~10월)
하인슈타인엠블록아두이노 역촌키움센터(2023년 9~10월)
게임리터러시 백송초등학교(2023년 9~10월)
게임활용코딩 고양오금초등학교(2023년 9~11월)
큐브로이드 스마트 시티 역촌키움센터(2023년 9월)
모두를 위한 AI기술 교육캠프  은평메디텍고등학교(2023년 7월)
핑퐁, 코드위즈 인공지능 연신초등학교(2023년 6~7월)
성동로블록스를 이용한 안전지키미  금북초등학교(2023년 6~7월)
AI로봇을 활용한 구연동화  경북형남초등학교(2023년 6월)
나는야 미술코딩 아티스트 새싹캠프  단샘초등학교(2023년 6월)
VR/AR로 만나는 세상 하남청소년수련관(2023년 6~12월)
ChatGPT와 DALL·E만으로 웹툰 작가가  일산메디텍고등학교(2023년 6월)
스마트모빌리티 고등  오류고등학교(2023년 5월)
스마트모빌리티 초등  녹천초등학교(2023년 5월)
 ChatGPT와 DALL·E만으로 웹툰 작가가 새싹캠프  소래고등학교(2023년 5월)
메타버스에서 만나는 도서관  남산도서관(2023년 5월)
연신초등학교 핑퐁로봇, 코드위즈로 만나는 SW세상(2023년 6~7월)
하남청소년 수련관 VR/AR로 만나는 세상(2023년 6월)
단샘초등학교 '나는 야 코딩아티스트' 미술코딩 새싹캠프(2023년 5월)
Ghat GPT와 DALL-E로 웹툰작가 되어보기 새싹캠프(2023년 5월)
오류고등학교 스마트모빌리티키트 코코아팹 새싹캠프(2023년 5월)
녹천초등학교 스마트모빌리티키트 코코아팹 새싹캠프(2023년 5월)
서울남산도서관 메타버스에서 제페토와 만나다(2023년 5월)
 충남소프트미래채움 엔트리 과학 강사대상연수(2023년 5월)
서일초등학교 AI로봇코딩(2023년 4월)
시립은평청소년센터 게임활용코딩(2023년 4월)
용산청파초등학교 엔트리 코코아팹 새싹캠프(2023년 3월)
불광중학교 자유학기제 미술코딩 (2023년 3월)
AI스마트그린시티 캠프  한국공학대학교(2023년 2월)
엔트리데이터과학 캠프  모두의연구소(2023년 2월)
마퀸나를 찾아줘 새싹캠프  동국대학교(2023년 2월)
메타버스에서 모두함께배우는 인공지능  광주명진고등학교(2023년 2월)
 마퀸나를 찾아줘 새싹캠프  한국공학대학교(2023년 2월)
모두에게 어썸한 SW/AI캠프  경기고촌고등학교(2023년 2월)
메타버스에서 모두함께배우는 인공지능  동두천중학교(2023년 1월)
SW새싹 비기너 캠프  공릉초등학교(2023년 1월)
할로코드 스마트홈 캠프 인천능허대중학교(2023년 1월)
SSAFY 메타버스 캠프  삼성청년SW아카데미(2023년 1월)
SSAFY 로봇퀘스트 캠프  삼성청년SW아카데미(2023년 1월)
재능빅토리 SW/AI캠프  인천능허대중학교(2023년 1월)
SW새싹 유나이티드 캠프  고대부속중학교(2022년 12월)
SW페스티벌(VR미래도시 만들기(2022년 11월)
피지컬컴퓨팅 햄스터  미양초등학교(2022년 8월)
나는 야 코딩 아티스트  영락중학교(2022년 8월)
내가 만드는 세상VR오큘러스퀘스트  기적의도서관(국립어린이청소년도서관)(2022년 8월)
내가 만드는 세상VR오큘러스퀘스트 이순신도서관(국립어린이청소년도서관)(2022년 8월)
2022 SK하인슈타인(엔트리)  코코아팹(2022년 7월)
미술코딩아티스트  대조북카페(2022년 7월)
내가만드는 VR전문가  여주기적의도서관(2022년 7월)
게임활용코딩(초등고)  게임문화교실(2022년 6월)
아름다운 그림이야기 코딩(마이크로비트) 용마초등학교(2022년 6월)
크롬북을 활용한 AI수업  양화중학교(2022년 5월)
내가 만드는 VR/AR 세상 하남청소년수련관(2022년 3월)
큐브로이드를 활용한 코딩로봇  신북초등학교(2022년 4월)
피지컬컴퓨팅을 활용한 로봇 1~6  서일초등학교(2022년 4월)
디지털 역량 UP교실  대구에듀소프트랩(2022년 1월)
하남 ‘꿈트리’ 프로젝트(VR/AR)  하남청소년수련관(2022년 1월)
현재 은평마을방과후 강사(2020년~현재)
코딩강사('17~'24)
광고편집디자이너('95~'03)</t>
  </si>
  <si>
    <t>장미영</t>
  </si>
  <si>
    <t>숙명여대 대학원</t>
  </si>
  <si>
    <t>COS 1급(2022.8.13) 창의로봇코딩마스터(2022.8.5)  드론교육지도사 1급(2022.8.5)  인공지능(AI)교육지도사 2급(2022.8.5)</t>
  </si>
  <si>
    <t>2022. 11. 1 평택노아지역아동센터 코스페이시스 VR
2022. 11. 4 부천 역곡중 VR
2022. 11. 9 인천 인화여중 엠봇2
2022. 11. 9 오산 매홀중 메타버스 
2022. 11. 15 인천 신흥여중 엠봇2
2022. 11. 16 광명 빛가온초 VR
2022. 11. 22 인천 송일초 오조봇 비트
2022. 11. 30 서울 원신초 엔트리
2022. 12. 5~6 인천 상아초 드론/엠봇2
2022. 12. 12 서울 월촌중 사물인터넷IoT
2022. 12. 19 서울 양천중 야경디자이너
2022. 12. 21 오산 운천중 엠봇2
2022. 12~1월중 디지털새싹캠프 인하대 아두이노 리치실드, 고릴라셀
2023. 1. 3~4 디지털새싹캠프 재능대 할로코드 인공지능 IoT
2023. 2. 6~9 디지털새싹캠프 재능대 로보마스터 TT드론
2023. 3. 29~11. 6 수원 천천중/원천중학교 방과후 코딩수업
2023. 4~5. 17 시흥 군서초등학교 2학년 코딩수업
2023. 5. 26~12. 1 안양초, 안양중앙초, 삼봉초, 부흥초 엔트리 코딩수업
2023. 5. 23~10. 13 광명 가림중 외 3개 학교 FNJ 디지털리터러시
2023. 6. 1~12. 26 시흥 서해중 외 3개 학교 시흥시 마을교사 스마트시티
2023. 6. 14~11.21 안산 슬기초등학교 3,4,6학년 인공지능 수업 
2023. 7. 18~12.28 성남 동광고 외 3개 학교 어썸스쿨 인공지능/스마트챗 히어로
2023. 8. 24~2024. 1. 5 디지털새싹캠프 어썸스쿨 인공지능/ 3D 프린터</t>
  </si>
  <si>
    <t>공은영</t>
  </si>
  <si>
    <t>스마택트</t>
  </si>
  <si>
    <t>전산정보처리/교육과</t>
  </si>
  <si>
    <t>SW코딩자격(23.07)/파이썬마스터(23.09)/인공지능.메타버스교육지도사(23.11)</t>
  </si>
  <si>
    <t>2023.07~코딩강사</t>
  </si>
  <si>
    <t>김효신</t>
  </si>
  <si>
    <t>상지대학교</t>
  </si>
  <si>
    <t xml:space="preserve">전자계산학 </t>
  </si>
  <si>
    <t>Microsoft Azure AI 기초 (AI-900) (2023.07.15) 메타버스 전문가 자격증 (2023.06.02),  인공지능교육콘텐츠전문가 1급 (2021.12.15), 인공지능교육콘텐츠전문가 2급 (2021.12.10),  무선조종지도자(드론) 2급 (2018.11.25),  블록지도사 2급 (2018.10.01),  3D프린팅펜지도사 (2018.04.04),  로봇지도사 1급 (2018.01.06),  3D 콘텐츠 교육강사 (2017.12.27),  코딩지도사 2급 (2017.11.19),  모바일로보틱스 3급 (2017.08.08),  로봇제어프로그램 2급 (2017.07.23),  교원자격증[중등2급 정교사 전자계산] (2001.02.23),  정보처리기사 (2000.09.18)</t>
  </si>
  <si>
    <t xml:space="preserve">SSAFY 9,10,11기 - 삼성 청년 SW 아카데미 크리에이터 챌린지 과정 (레드브릭 Javascript)(23~24년)
디시털새싹 주,보 다수 (23~현재)
구름 오산AI코딩에듀랩 초등 SW 시범 교육 (23년)
정보통신산업진흥원  실감교육콘텐츠 현장체험 VR교육 및 체험강사 (21~23년)
아인초등학교 방과후학교 AI코딩블럭부 (22~23년)
수원금호초등학교 방과후학교 발명코딩로봇부 (21~현재)
영천초등학교 3~6학년 코딩교육 엔트리,스크래치,마이크로비트 (21~23년)
신리초등학교 3~6학년 소프트웨어교육 엔트리, 오조봇 (20~21년)
로봇공학자, 3D펜, 드론, 인공지능 등 직업직진로체험 특강 (18~현재)
솔빛교육 팀보코딩로봇교육강사 5,6,7세 (18년)
대한민국청소년로봇연맹 청소년 로봇스포츠 대회 심사위원 위촉 (18~20년)
</t>
  </si>
  <si>
    <t>이수현</t>
  </si>
  <si>
    <t>인천재능대학교</t>
  </si>
  <si>
    <t>명지대학교 유통경영대학원</t>
  </si>
  <si>
    <t>유통물류학과, 컴퓨터과학과</t>
  </si>
  <si>
    <t xml:space="preserve">정보처리기사(1993.04), OCP (2003.08), 3CT 1급(2016.10), 드론교육지도사2급(2017.06), 메이커교육운용사(2017.10), 메타버스&amp;NFT큐레이터2급(2022.02), 코딩드론지도사 자격증1급(2022.07) </t>
  </si>
  <si>
    <t xml:space="preserve">현 인천재능대학 AI융합과 강사,  KB금융 프로그래머, NH캐피털 프로그래머, 우리카드 프로그래머, 선린인터넷고, 부천공고, 중하중학교 등 엘리스 ai캠프 초,중고등학교 참여, 인천재능대 ai캠프 다수 학교참여, 이티에듀 ai캠프 다수 학교 참여 </t>
  </si>
  <si>
    <t>권종익</t>
  </si>
  <si>
    <t>잠실중학교</t>
  </si>
  <si>
    <t>안동대학교</t>
  </si>
  <si>
    <t>정교사1급(2020.8.31.)</t>
  </si>
  <si>
    <t>경상북도교육청 재무정보과 나이스팀(2010~2011)
경상북도교육청 재무정보과 정보보호팀(2011~2012)
경상북도봉화교육지원청 행정지원과 전산실(2013~2015)
서울지방경찰청 광진경찰서 민원실(2015)
서울로봇고등학교 첨단로봇시스템과(2016~2018)
잠실중학교(2019~)
2019 러시아 카잔 국제기능올림픽 모바일로보틱스 직종 국가대표 부지도위원</t>
  </si>
  <si>
    <t>김선희</t>
  </si>
  <si>
    <t>명지전문대학교</t>
  </si>
  <si>
    <t>행정학</t>
  </si>
  <si>
    <t>사무자동화산업기사(2003.10)</t>
  </si>
  <si>
    <t>인하댐잡스의 차고 캠프 보조강사 (23-현재)</t>
  </si>
  <si>
    <t>김종섭</t>
  </si>
  <si>
    <t>춘천교육대학교</t>
  </si>
  <si>
    <t>윤리교육</t>
  </si>
  <si>
    <t>2010년 8월 30일</t>
  </si>
  <si>
    <t>인하대 잡스의 차고캠프 강사(22~현재)
인하대학교 AI융합대학원 재학중
SW연수학교 출강 강사</t>
  </si>
  <si>
    <t>최민혜</t>
  </si>
  <si>
    <t>정보처리산업기사(2003.06.09) 사무자동화산업기사(2003.11.17) COS 1급(스크래치) (2022.08.13)</t>
  </si>
  <si>
    <t>2022.6-2023.12인천시교육청(마루한)창의미래교육(AI/SW)강의
2022.6-2023.12 인천시교육청(마루한) 4차산업직업체험 강의
2022.12-2023.2 인하대학교 디지털새싹 캠프 강의 
2023.1-2023.2 인천재능대학교 디지털새싹 캠프 강의
2023.2-2023.4 참다솜 디지털새싹 캠프 강의
2023.3-2023.12 인천시교육청(맘이랜서) 메타버스 강의
2023.3-2023.9 덕성여자대학교 WISE 찾아가는 실험실 학교
2023.7-2023.11 플레이코딩 찾아가는 발명체험교실 강의
2023.10-2023.11 SK하이닉스 하인슈타인 강의
2023.8-2024.1 (주)엘리스그룹 디지털새싹 캠프 강의</t>
  </si>
  <si>
    <t>나</t>
    <phoneticPr fontId="42" type="noConversion"/>
  </si>
  <si>
    <t>이주</t>
  </si>
  <si>
    <t>순천향대학교</t>
    <phoneticPr fontId="42" type="noConversion"/>
  </si>
  <si>
    <t>생물학</t>
    <phoneticPr fontId="42" type="noConversion"/>
  </si>
  <si>
    <t>창의과한자드사(21.02.05)/코딩지도사1급（ 21.1.08)/소프트웨어교육지도사1(23.01.02)/특수아동지도사((23.01.02)/메타버스교육지도사1급(23.11.01)/인공지능교육지도사1급(23.11.01)/노인두뇌훈련사(21.01.12)/커피바리스타(21.01.15)</t>
  </si>
  <si>
    <t>과천과학관 전시해설 및 과학나눔사업 (15~현재)
삼성SDI 과학교실 (19~현재）
과학기술정보  메타버스 VR,강사
디지털새싹 강사(23~현재）
깅남구미래인재 프로젝트 강사 (23~현재)
충청남도교육청 진로체험강사(17~18)
한화에코교실 강사 (17~ 18년)
어플라이드과학교실(21~22년)
화성교육협럭지원센터 찾아가는 코딩교실(ㆍ2년)
경기평생교육진흥원  코딩교육강사(23~ 현재)
경기이룸학교 _용인과학길잡이교사(23~현재)
농업박물관 위촉강사(22년)
화성시 향토박물관위촉강사(17~20년)</t>
  </si>
  <si>
    <t>박현주</t>
  </si>
  <si>
    <t>삼산중학교</t>
  </si>
  <si>
    <t>정보처리기사,1급정교사</t>
  </si>
  <si>
    <t>인하대 잡스의 차고캠프 강사(22~),인천중등교사를 위한 인공지능 교재 집필 참여</t>
  </si>
  <si>
    <t>강순미</t>
  </si>
  <si>
    <t>관광경영학/유아교육학</t>
  </si>
  <si>
    <t>2013.02.20 교원자격증/2021.06.08 IEQ인터넷윤리지도사 / 2021.07.29 정보기술자격(ITQ) / 2020.12.05 ICDL국제자격 / 2021.04.21 인공지능교육지도사1급 / 2021.12.09.메타버스교육지도사/2019.02.23. SW코딩자격/2018.12.22 Coding Specialis</t>
  </si>
  <si>
    <t>2022~현재 디지털배움터 전문강사
2019.03~2022.11  신일초등학교 (창의융합형 소프트웨어 피지컬코딩교육)
2021.04~2021.12  월곶초등학교( Play 소프트웨어 코딩교육 )
2020.08~2121.07 시흥교육자치과 (온라인대비 찾아가는 마을교사 )
2021.06~2023.11 경기도교육진흥원  (경기도민강사 찾아가는 배움교실 창의과학코딩 )
2021.08~2121.12 한국생산성본부  (디지털 전환사업 전문강사 )
2021.04~현재 검바위,웃터골외 다수 초등학교 (학년별교육과정 소프트웨어코딩교육)
2022.04~현재 도원,배곧초등학교 (소프트웨어 피지컬 코딩교육)
2022.12~2023.12 인하대외 (미래인재양성 프로젝트 디지털새싹캠프 전문강사)
2018.08~2018.11 시흥시 평생학습센터 ( SW 스크래치코딩교육)</t>
  </si>
  <si>
    <t>김민구</t>
  </si>
  <si>
    <t>인천대건고등학교</t>
  </si>
  <si>
    <t>전산학과</t>
  </si>
  <si>
    <t>인천대건고 정보교과 교사(98~현재), 소프트웨어선도학교 학교 담당자(16~19년), 인천대건고 교과특성화과정-컴퓨터 융합 학교 담당자(14~현재), 인하대 잡스의 차고캠프 강사 및 부강사(22~현재)</t>
    <phoneticPr fontId="2" type="noConversion"/>
  </si>
  <si>
    <t>김석전</t>
  </si>
  <si>
    <r>
      <rPr>
        <sz val="10"/>
        <color rgb="FF000000"/>
        <rFont val="맑은 고딕"/>
        <family val="3"/>
        <charset val="129"/>
      </rPr>
      <t>전자계산기</t>
    </r>
    <r>
      <rPr>
        <sz val="10"/>
        <color rgb="FF000000"/>
        <rFont val="맑은 고딕"/>
        <family val="2"/>
        <scheme val="minor"/>
      </rPr>
      <t xml:space="preserve"> </t>
    </r>
    <r>
      <rPr>
        <sz val="10"/>
        <color rgb="FF000000"/>
        <rFont val="맑은 고딕"/>
        <family val="3"/>
        <charset val="129"/>
      </rPr>
      <t>조직응용기사</t>
    </r>
    <r>
      <rPr>
        <sz val="10"/>
        <color rgb="FF000000"/>
        <rFont val="맑은 고딕"/>
        <family val="2"/>
        <scheme val="minor"/>
      </rPr>
      <t xml:space="preserve">, </t>
    </r>
    <r>
      <rPr>
        <sz val="10"/>
        <color rgb="FF000000"/>
        <rFont val="맑은 고딕"/>
        <family val="2"/>
        <charset val="129"/>
      </rPr>
      <t>정보 1급정교사</t>
    </r>
  </si>
  <si>
    <r>
      <rPr>
        <sz val="10"/>
        <color rgb="FF000000"/>
        <rFont val="맑은 고딕"/>
        <family val="3"/>
        <charset val="129"/>
      </rPr>
      <t>아주</t>
    </r>
    <r>
      <rPr>
        <sz val="10"/>
        <color rgb="FF000000"/>
        <rFont val="맑은 고딕"/>
        <family val="2"/>
        <scheme val="minor"/>
      </rPr>
      <t xml:space="preserve"> </t>
    </r>
    <r>
      <rPr>
        <sz val="10"/>
        <color rgb="FF000000"/>
        <rFont val="맑은 고딕"/>
        <family val="3"/>
        <charset val="129"/>
      </rPr>
      <t>많음</t>
    </r>
    <r>
      <rPr>
        <sz val="10"/>
        <color rgb="FF000000"/>
        <rFont val="맑은 고딕"/>
        <family val="2"/>
        <scheme val="minor"/>
      </rPr>
      <t xml:space="preserve">, </t>
    </r>
    <r>
      <rPr>
        <sz val="10"/>
        <color rgb="FF000000"/>
        <rFont val="맑은 고딕"/>
        <family val="3"/>
        <charset val="129"/>
      </rPr>
      <t>김세호</t>
    </r>
    <r>
      <rPr>
        <sz val="10"/>
        <color rgb="FF000000"/>
        <rFont val="맑은 고딕"/>
        <family val="2"/>
        <scheme val="minor"/>
      </rPr>
      <t xml:space="preserve"> </t>
    </r>
    <r>
      <rPr>
        <sz val="10"/>
        <color rgb="FF000000"/>
        <rFont val="맑은 고딕"/>
        <family val="3"/>
        <charset val="129"/>
      </rPr>
      <t>샘인하대</t>
    </r>
    <r>
      <rPr>
        <sz val="10"/>
        <color rgb="FF000000"/>
        <rFont val="Arial"/>
        <family val="3"/>
      </rPr>
      <t xml:space="preserve"> </t>
    </r>
    <r>
      <rPr>
        <sz val="10"/>
        <color rgb="FF000000"/>
        <rFont val="맑은 고딕"/>
        <family val="3"/>
        <charset val="129"/>
      </rPr>
      <t>잡스의</t>
    </r>
    <r>
      <rPr>
        <sz val="10"/>
        <color rgb="FF000000"/>
        <rFont val="Arial"/>
        <family val="3"/>
      </rPr>
      <t xml:space="preserve"> </t>
    </r>
    <r>
      <rPr>
        <sz val="10"/>
        <color rgb="FF000000"/>
        <rFont val="맑은 고딕"/>
        <family val="3"/>
        <charset val="129"/>
      </rPr>
      <t>차고캠프</t>
    </r>
    <r>
      <rPr>
        <sz val="10"/>
        <color rgb="FF000000"/>
        <rFont val="Arial"/>
        <family val="3"/>
      </rPr>
      <t xml:space="preserve"> </t>
    </r>
    <r>
      <rPr>
        <sz val="10"/>
        <color rgb="FF000000"/>
        <rFont val="맑은 고딕"/>
        <family val="3"/>
        <charset val="129"/>
      </rPr>
      <t>강사</t>
    </r>
    <r>
      <rPr>
        <sz val="10"/>
        <color rgb="FF000000"/>
        <rFont val="Arial"/>
        <family val="3"/>
      </rPr>
      <t>(23~</t>
    </r>
    <r>
      <rPr>
        <sz val="10"/>
        <color rgb="FF000000"/>
        <rFont val="맑은 고딕"/>
        <family val="3"/>
        <charset val="129"/>
      </rPr>
      <t>현재</t>
    </r>
    <r>
      <rPr>
        <sz val="10"/>
        <color rgb="FF000000"/>
        <rFont val="Arial"/>
        <family val="3"/>
      </rPr>
      <t>)</t>
    </r>
  </si>
  <si>
    <t>전은애</t>
  </si>
  <si>
    <t>전임 컨설턴트</t>
    <phoneticPr fontId="2" type="noConversion"/>
  </si>
  <si>
    <t>국제통상학</t>
  </si>
  <si>
    <t>진로상담전문가 2급, 직업상담사 2급, 평생교육사 2급</t>
    <phoneticPr fontId="2" type="noConversion"/>
  </si>
  <si>
    <t>인하대학교 진로 및 입사지원서 특강, 수원 한봄고등학교 진로주간 "진로설정과 이해", "직업정보와 취업전략" 특강/서울지방노동청 특성화 고등학교 강의, 이화여대/건국대/한국항공대 상담 및 강의</t>
    <phoneticPr fontId="2" type="noConversion"/>
  </si>
  <si>
    <t>장혜리</t>
  </si>
  <si>
    <t>컨설턴트</t>
  </si>
  <si>
    <t>덕성여자대학교</t>
  </si>
  <si>
    <t>철학</t>
  </si>
  <si>
    <t>직업상담사 2급</t>
  </si>
  <si>
    <t>인하대학교 대학일자리플러스센터_진로/취업 상담 및 특강, 국민취업지원제도 운영_진로/취업 상담</t>
    <phoneticPr fontId="2" type="noConversion"/>
  </si>
  <si>
    <t>박승보</t>
    <phoneticPr fontId="2" type="noConversion"/>
  </si>
  <si>
    <t>교수</t>
    <phoneticPr fontId="2" type="noConversion"/>
  </si>
  <si>
    <t>인하대학교</t>
    <phoneticPr fontId="2" type="noConversion"/>
  </si>
  <si>
    <t>정보공학</t>
    <phoneticPr fontId="2" type="noConversion"/>
  </si>
  <si>
    <t>인하대학교 정보공학 박사</t>
    <phoneticPr fontId="2" type="noConversion"/>
  </si>
  <si>
    <t>·인하대 소프트웨어융합공학과 전공 주임교수, 인하대 교육대학원 AI융합교육전공 주임교수, ·디지털새싹 사업책임자, ·가천대 소프트웨어중심대학사업단 SW지역가치확산 담당</t>
    <phoneticPr fontId="2" type="noConversion"/>
  </si>
  <si>
    <t>남춘성</t>
    <phoneticPr fontId="2" type="noConversion"/>
  </si>
  <si>
    <t>성균관대학교</t>
    <phoneticPr fontId="2" type="noConversion"/>
  </si>
  <si>
    <t>전자전기컴퓨터공학</t>
    <phoneticPr fontId="2" type="noConversion"/>
  </si>
  <si>
    <t>성균관대학교 전자전기컴퓨터공학 박사</t>
    <phoneticPr fontId="2" type="noConversion"/>
  </si>
  <si>
    <t>성균관대학교 책임연구원, 인하대학교 조교수</t>
    <phoneticPr fontId="2" type="noConversion"/>
  </si>
  <si>
    <t>최성용</t>
    <phoneticPr fontId="2" type="noConversion"/>
  </si>
  <si>
    <t>인하대학교 컴퓨터공학 박사</t>
    <phoneticPr fontId="2" type="noConversion"/>
  </si>
  <si>
    <t>인하대학교 소프트웨어융합공학과 조교수</t>
    <phoneticPr fontId="2" type="noConversion"/>
  </si>
  <si>
    <t>엄희찬</t>
    <phoneticPr fontId="2" type="noConversion"/>
  </si>
  <si>
    <t>㈜아이앤지</t>
    <phoneticPr fontId="2" type="noConversion"/>
  </si>
  <si>
    <t>대표</t>
    <phoneticPr fontId="2" type="noConversion"/>
  </si>
  <si>
    <t>소프트웨어융합공학</t>
    <phoneticPr fontId="2" type="noConversion"/>
  </si>
  <si>
    <t>통신기기기능사</t>
    <phoneticPr fontId="2" type="noConversion"/>
  </si>
  <si>
    <t>AI - 인공지능 수어 번역 솔루션, 인공지능 물체감지 기반 스마트 실버카 개발, IT - 웹/앱/플랫폼 다수 제작, 임베디드 - PIM 장비 개발, 방송통신중계기, 무선 마이크 송수신 시스템</t>
    <phoneticPr fontId="2" type="noConversion"/>
  </si>
  <si>
    <t>고진호</t>
    <phoneticPr fontId="2" type="noConversion"/>
  </si>
  <si>
    <t>㈜아이앤지</t>
  </si>
  <si>
    <t>팀장</t>
    <phoneticPr fontId="2" type="noConversion"/>
  </si>
  <si>
    <t>소프트웨어융합공학</t>
  </si>
  <si>
    <t>통신기기기능사</t>
  </si>
  <si>
    <t>AI - 인공지능 수어 번역 솔루션, 인공지능 물체감지 기반 스마트 실버카 개발, IT - 웹/앱/플랫폼 다수 제작, 임베디드 - 숙박시설 침입감지 및 도어락 시스템 개발</t>
    <phoneticPr fontId="2" type="noConversion"/>
  </si>
  <si>
    <t>류재성</t>
    <phoneticPr fontId="2" type="noConversion"/>
  </si>
  <si>
    <t>이사</t>
    <phoneticPr fontId="2" type="noConversion"/>
  </si>
  <si>
    <t>네트워크 - 보안 관련 전문가</t>
    <phoneticPr fontId="2" type="noConversion"/>
  </si>
  <si>
    <t>전우형</t>
    <phoneticPr fontId="2" type="noConversion"/>
  </si>
  <si>
    <t>매니저</t>
    <phoneticPr fontId="2" type="noConversion"/>
  </si>
  <si>
    <t>전자기기기능사</t>
    <phoneticPr fontId="2" type="noConversion"/>
  </si>
  <si>
    <t xml:space="preserve"> AI - 인공지능 수어 번역 솔루션, 인공지능 물체감지 기반 스마트 실버카 개발, IT - 웹/앱/플랫폼 다수 제작</t>
    <phoneticPr fontId="2" type="noConversion"/>
  </si>
  <si>
    <t>권다혜</t>
  </si>
  <si>
    <t>부림초등학교</t>
  </si>
  <si>
    <t>서울교육대학원 인공지능교육전공</t>
  </si>
  <si>
    <t>교실혁명 선도교사(24), aiedap 마스터교원(24), 찾아가는학교컨설팅/aidt 및 하이러닝 강의(24-25) 한국과학창의재단 자료 자문(23), 디지털튜터를 위한 자료 및 연수 제작(24), 경기권도 에듀테크 지원단(25)</t>
  </si>
  <si>
    <t>경기권</t>
  </si>
  <si>
    <t>디지털튜터 교육용 원고 제작(24), 10대를 위한 데이터과학 with 파이썬(24)Atc 연구회(23- , 현 경기권남부 총무), 에듀테크 교육 연구회, ai융합교육연구회</t>
  </si>
  <si>
    <t>권혜정</t>
  </si>
  <si>
    <t>동촌중학교</t>
  </si>
  <si>
    <t>전산교육</t>
  </si>
  <si>
    <t>2022~2024 디지털새싹 강사, SW융합 해커톤 지원 및 멘토링 교사, ICT관련대회지도교사, 코딩전문강사 양성과정, 중등 영재반, 중등 SW동아리, 초중등학교 각종 캠프, 게임리터러시, 원더리그 어린이 코딩 사고력 대회 지도 교사</t>
  </si>
  <si>
    <t>경상권</t>
  </si>
  <si>
    <t>인공지능선도학교 운영</t>
  </si>
  <si>
    <t>김빛나</t>
    <phoneticPr fontId="2" type="noConversion"/>
  </si>
  <si>
    <t>영성중학교</t>
    <phoneticPr fontId="2" type="noConversion"/>
  </si>
  <si>
    <t>교육학</t>
    <phoneticPr fontId="2" type="noConversion"/>
  </si>
  <si>
    <t>IB로 그리는 개념기반 탐구학습경기권 미래형 중학교 교육과정 운영 방안 연구 공동연구원</t>
  </si>
  <si>
    <t>용호고등학교</t>
  </si>
  <si>
    <t>교육감상수상(24.12.01)</t>
  </si>
  <si>
    <t>IB교육참여</t>
  </si>
  <si>
    <t>류진현</t>
  </si>
  <si>
    <t>경상권경신고등학교</t>
  </si>
  <si>
    <t>국어교육</t>
  </si>
  <si>
    <t>국가차원의 에듀테크 품질인증 체계 구축단
디지털 교육 규범 해설서 개발 자문단</t>
  </si>
  <si>
    <t>박효혜</t>
    <phoneticPr fontId="2" type="noConversion"/>
  </si>
  <si>
    <t>파양초등학교</t>
    <phoneticPr fontId="2" type="noConversion"/>
  </si>
  <si>
    <t>석사</t>
    <phoneticPr fontId="2" type="noConversion"/>
  </si>
  <si>
    <t>교육감 표창(23)</t>
    <phoneticPr fontId="2" type="noConversion"/>
  </si>
  <si>
    <t>파주교육청IB리더쉽팀</t>
  </si>
  <si>
    <t>백주열</t>
  </si>
  <si>
    <t>경상권학정초등학교</t>
  </si>
  <si>
    <t>미래교육에 에듀테크를 더하다(한국교총원격연수원)
디지털기반수업혁신,메타버스(경상권시교육청)
애듀테크,SW-AI 선도교원연수(경상권시교육청)</t>
  </si>
  <si>
    <t>이부진</t>
  </si>
  <si>
    <t>19800622</t>
  </si>
  <si>
    <t>경상권용계초등학교</t>
  </si>
  <si>
    <t>영재교육</t>
  </si>
  <si>
    <t>교육부 장관상 수상('23.12.28)</t>
  </si>
  <si>
    <t>에듀테크 활용 가이드집 ('23-'24) 
AI 코스웨어 활용 가이드집('23-'24)2023 KERIS 공모 AI융합 교사연구회
 - 생성형 AI 활용 수업 자료 개발 및 적용</t>
  </si>
  <si>
    <t>이윤정</t>
  </si>
  <si>
    <t>아인초등학교</t>
  </si>
  <si>
    <t>융합교육</t>
  </si>
  <si>
    <t>교육감 수상 23.12.31. 교육장 수상 24</t>
  </si>
  <si>
    <t>전국수업연구회 IB 도 연구회 개념기반 탐구수업 공동체</t>
  </si>
  <si>
    <t>이현정</t>
    <phoneticPr fontId="2" type="noConversion"/>
  </si>
  <si>
    <t>19810117</t>
    <phoneticPr fontId="2" type="noConversion"/>
  </si>
  <si>
    <t>송내고등학교</t>
    <phoneticPr fontId="2" type="noConversion"/>
  </si>
  <si>
    <t>교육학, 국어</t>
    <phoneticPr fontId="2" type="noConversion"/>
  </si>
  <si>
    <t>교육감상(24)</t>
  </si>
  <si>
    <t>전국단위연구회 한국형바칼로레아 /부천연구회 IB,</t>
  </si>
  <si>
    <t>조지훈</t>
  </si>
  <si>
    <t>19820628</t>
  </si>
  <si>
    <t>영동중학교</t>
  </si>
  <si>
    <t>교육부 장관상 수상('24.12.31)</t>
  </si>
  <si>
    <t>정보(2022) 교과서 집필('23)AI융합 교사학습 공동체
 - 융합 교육 연구</t>
  </si>
  <si>
    <t>조현규</t>
  </si>
  <si>
    <t>19930910</t>
  </si>
  <si>
    <t>경상중학교</t>
  </si>
  <si>
    <t>역사교육</t>
  </si>
  <si>
    <t>연구부 평가계
창의인성부 창의적체럼활동운영</t>
  </si>
  <si>
    <t>(주)해냄에듀 중학 역사② 에듀테크 활용 자료집 집필(24.7-8)
 KEDI 연구보고서 AI기반 맞춤형 학습 지원 방향 제시 및 국내 교육정책 동향 분석(24.10)AI융합교육연구회 회원, 교사성장학교 회원
 전국단위 에듀테크 교사 연구회 정회원</t>
  </si>
  <si>
    <t>조희정</t>
  </si>
  <si>
    <t>포일초등학교</t>
  </si>
  <si>
    <t>Ai창의융합교육</t>
  </si>
  <si>
    <t>하이러닝 활용 수업살계 나눔 공모전 입상(24.12.31). 2022개정교육과정 설계 운영 지원 교육감 표창(24.12.31). 2024대한민국 경제교육대상(24.12.6)</t>
  </si>
  <si>
    <t>아이스크림 학교자율시간워크북(2025), 1-2학년 해양교육교재(2024), 2025 대한민국 미래교육 트렌드 (2024) 책 집필(한걸음 먼저 경제(2024), 슬기로운 소비생활(2023), 용돈잘쓰는법(2023), 우리같이 착한소비(2021) 등)2024 탐국수업공동체 교사단 활동, 에듀테크연구회 활동, 경기권도 경제교육연구회 활동</t>
  </si>
  <si>
    <t>최은화</t>
  </si>
  <si>
    <t>성호초등학교</t>
  </si>
  <si>
    <t>보건교육</t>
  </si>
  <si>
    <t>2022년~현재 지식샘터 강좌 운영, 2024 AIDT 적용 실행연수 강사, 교실혁명 선도교사</t>
  </si>
  <si>
    <t>교과서 집필(22)학교밖 전문적학습공동체 -에듀테크</t>
  </si>
  <si>
    <t>호양선</t>
  </si>
  <si>
    <t>배곧중학교</t>
    <phoneticPr fontId="2" type="noConversion"/>
  </si>
  <si>
    <t>박사</t>
  </si>
  <si>
    <t>교육감(2021). 교육감위촉(2024-2025)</t>
  </si>
  <si>
    <t>IB 과제탐구학술논문IB연구회(경기권도교육청).IB연구회(시흥대표).IB 도리더팀</t>
  </si>
  <si>
    <t>고원상</t>
  </si>
  <si>
    <t>대구서부고등학교</t>
  </si>
  <si>
    <t>영어교육</t>
  </si>
  <si>
    <t>교육부 장관상 수상('24.05.16.)
 교육감 표창
 ('22.12.31.)</t>
    <phoneticPr fontId="12" type="noConversion"/>
  </si>
  <si>
    <t>권기환</t>
  </si>
  <si>
    <t>19860824</t>
  </si>
  <si>
    <t>산양초등학교</t>
  </si>
  <si>
    <t>과학교육</t>
  </si>
  <si>
    <t>2023 교육혁신 교육부장관 표창</t>
    <phoneticPr fontId="12" type="noConversion"/>
  </si>
  <si>
    <t>김민지</t>
    <phoneticPr fontId="2" type="noConversion"/>
  </si>
  <si>
    <t>보평초등학교</t>
    <phoneticPr fontId="2" type="noConversion"/>
  </si>
  <si>
    <t>초등교육</t>
    <phoneticPr fontId="2" type="noConversion"/>
  </si>
  <si>
    <t>교육감 표창(2024.12.31), 교육감 표창(2023.12.31)</t>
    <phoneticPr fontId="2" type="noConversion"/>
  </si>
  <si>
    <t>2022 초등 5~6학년군 수학 교과서 집필(디딤돌교육), 경기도 실습중점학교 실습프로그램 개발(24)함께 자라기-수업 전문성 개발, 수업 내일-교육과정 전문성 개발</t>
  </si>
  <si>
    <t>김성환</t>
  </si>
  <si>
    <t>19841128</t>
  </si>
  <si>
    <t>오천초등학교</t>
  </si>
  <si>
    <r>
      <rPr>
        <sz val="10"/>
        <color theme="1"/>
        <rFont val="맑은 고딕"/>
        <family val="3"/>
        <charset val="129"/>
      </rPr>
      <t>진로상담</t>
    </r>
    <r>
      <rPr>
        <sz val="10"/>
        <color theme="1"/>
        <rFont val="맑은 고딕"/>
        <family val="2"/>
        <scheme val="minor"/>
      </rPr>
      <t xml:space="preserve"> </t>
    </r>
    <r>
      <rPr>
        <sz val="10"/>
        <color theme="1"/>
        <rFont val="맑은 고딕"/>
        <family val="3"/>
        <charset val="129"/>
      </rPr>
      <t>전문성</t>
    </r>
    <r>
      <rPr>
        <sz val="10"/>
        <color theme="1"/>
        <rFont val="맑은 고딕"/>
        <family val="2"/>
        <scheme val="minor"/>
      </rPr>
      <t xml:space="preserve"> </t>
    </r>
    <r>
      <rPr>
        <sz val="10"/>
        <color theme="1"/>
        <rFont val="맑은 고딕"/>
        <family val="3"/>
        <charset val="129"/>
      </rPr>
      <t>신장</t>
    </r>
    <r>
      <rPr>
        <sz val="10"/>
        <color theme="1"/>
        <rFont val="맑은 고딕"/>
        <family val="2"/>
        <scheme val="minor"/>
      </rPr>
      <t xml:space="preserve">(2018~ </t>
    </r>
    <r>
      <rPr>
        <sz val="10"/>
        <color theme="1"/>
        <rFont val="맑은 고딕"/>
        <family val="3"/>
        <charset val="129"/>
      </rPr>
      <t>경북대학교</t>
    </r>
    <r>
      <rPr>
        <sz val="10"/>
        <color theme="1"/>
        <rFont val="맑은 고딕"/>
        <family val="2"/>
        <scheme val="minor"/>
      </rPr>
      <t xml:space="preserve"> </t>
    </r>
    <r>
      <rPr>
        <sz val="10"/>
        <color theme="1"/>
        <rFont val="맑은 고딕"/>
        <family val="3"/>
        <charset val="129"/>
      </rPr>
      <t>상담</t>
    </r>
    <r>
      <rPr>
        <sz val="10"/>
        <color theme="1"/>
        <rFont val="맑은 고딕"/>
        <family val="2"/>
        <scheme val="minor"/>
      </rPr>
      <t xml:space="preserve"> </t>
    </r>
    <r>
      <rPr>
        <sz val="10"/>
        <color theme="1"/>
        <rFont val="맑은 고딕"/>
        <family val="3"/>
        <charset val="129"/>
      </rPr>
      <t>석</t>
    </r>
    <r>
      <rPr>
        <sz val="10"/>
        <color theme="1"/>
        <rFont val="맑은 고딕"/>
        <family val="2"/>
        <scheme val="minor"/>
      </rPr>
      <t>,</t>
    </r>
    <r>
      <rPr>
        <sz val="10"/>
        <color theme="1"/>
        <rFont val="맑은 고딕"/>
        <family val="3"/>
        <charset val="129"/>
      </rPr>
      <t>박사
전문상담교사</t>
    </r>
    <r>
      <rPr>
        <sz val="10"/>
        <color theme="1"/>
        <rFont val="맑은 고딕"/>
        <family val="2"/>
        <scheme val="minor"/>
      </rPr>
      <t xml:space="preserve">/2024~ </t>
    </r>
  </si>
  <si>
    <t>논문: 교사의 소진 경험에 대한 현상학적 연구
(2020, 경북대학교, 김성환)2021~ 경북 교사 인공지능 학습공동체 운영진</t>
  </si>
  <si>
    <t>김소희</t>
  </si>
  <si>
    <t>19960529</t>
  </si>
  <si>
    <t>빛가람초</t>
  </si>
  <si>
    <t>초등교육과</t>
  </si>
  <si>
    <t>교원디지털교과서200%활용하기(초등)/15차시/전라남도교육청교육연수원
AIEDAP 인공지능 융합수업기초/23차시/중앙교육연수원
하이터치하이테크교육의이해와 활용/5차시/중앙교육연수원
IB프로그램적용개념기반탐구수업설계 직무연수/15차시/전라남도교육청교육연수원
2024 교실혁명 선도교사 양성연수/40차시/한국교육학술정보원종합교육연수원</t>
    <phoneticPr fontId="12" type="noConversion"/>
  </si>
  <si>
    <t>호남·제주권</t>
  </si>
  <si>
    <t>IB 교원 연구회</t>
  </si>
  <si>
    <t>김수민</t>
  </si>
  <si>
    <t>성남동초등학교</t>
  </si>
  <si>
    <t>초등교육학</t>
  </si>
  <si>
    <t>성남동초등학교 발명센터 담당 및 강사(24~25), 영재학교 강사(24)</t>
  </si>
  <si>
    <t>컴퓨팅교사협회(ATC) 경기남부 연구회</t>
  </si>
  <si>
    <t>김숙형</t>
  </si>
  <si>
    <t>관천중학교</t>
  </si>
  <si>
    <r>
      <t xml:space="preserve">ICT </t>
    </r>
    <r>
      <rPr>
        <sz val="10"/>
        <color theme="1"/>
        <rFont val="맑은 고딕"/>
        <family val="3"/>
        <charset val="129"/>
      </rPr>
      <t>창업가캠프지도교사상</t>
    </r>
    <r>
      <rPr>
        <sz val="10"/>
        <color theme="1"/>
        <rFont val="맑은 고딕"/>
        <family val="2"/>
        <scheme val="minor"/>
      </rPr>
      <t xml:space="preserve"> </t>
    </r>
    <r>
      <rPr>
        <sz val="10"/>
        <color theme="1"/>
        <rFont val="맑은 고딕"/>
        <family val="3"/>
        <charset val="129"/>
      </rPr>
      <t>수상</t>
    </r>
    <r>
      <rPr>
        <sz val="10"/>
        <color theme="1"/>
        <rFont val="맑은 고딕"/>
        <family val="2"/>
        <scheme val="minor"/>
      </rPr>
      <t xml:space="preserve">(24.08.)
 </t>
    </r>
    <r>
      <rPr>
        <sz val="10"/>
        <color theme="1"/>
        <rFont val="맑은 고딕"/>
        <family val="3"/>
        <charset val="129"/>
      </rPr>
      <t>디지털새싹캠프</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(22</t>
    </r>
    <r>
      <rPr>
        <sz val="10"/>
        <color theme="1"/>
        <rFont val="맑은 고딕"/>
        <family val="3"/>
        <charset val="129"/>
      </rPr>
      <t>년</t>
    </r>
    <r>
      <rPr>
        <sz val="10"/>
        <color theme="1"/>
        <rFont val="맑은 고딕"/>
        <family val="2"/>
        <scheme val="minor"/>
      </rPr>
      <t>~24</t>
    </r>
    <r>
      <rPr>
        <sz val="10"/>
        <color theme="1"/>
        <rFont val="맑은 고딕"/>
        <family val="3"/>
        <charset val="129"/>
      </rPr>
      <t>년</t>
    </r>
    <r>
      <rPr>
        <sz val="10"/>
        <color theme="1"/>
        <rFont val="맑은 고딕"/>
        <family val="2"/>
        <scheme val="minor"/>
      </rPr>
      <t>).</t>
    </r>
  </si>
  <si>
    <t>김은숙</t>
  </si>
  <si>
    <t>19690212</t>
  </si>
  <si>
    <t>포항이동중학교</t>
  </si>
  <si>
    <t>경북중등수석교사회 회장
포항시 수학교과연구회 회장(2021-2022)
2024 수학교육 서포터즈</t>
    <phoneticPr fontId="12" type="noConversion"/>
  </si>
  <si>
    <t>2015 개정교육과정교과서 검정위원(중3수학)
메타버스로 확장하는 메타스쿨(2022,교문사)
학생의변화와 성장을 돕는 수업디자인
(2023, 지식과감성)</t>
  </si>
  <si>
    <t>김정철</t>
  </si>
  <si>
    <t>19931130</t>
  </si>
  <si>
    <t>포항제철중학교</t>
  </si>
  <si>
    <t>가정교육</t>
  </si>
  <si>
    <t>경상북도교육감 표창 수상(`22.12.) 교육부 장관상 수상('22.16)</t>
    <phoneticPr fontId="12" type="noConversion"/>
  </si>
  <si>
    <t>경북교육청연구원(2018, 2022) 
정책 연구 과제 수행SW-AI교재 개발 연구회 소속 교사, 
 이러닝세계화 선도교사단</t>
  </si>
  <si>
    <t>김정효</t>
  </si>
  <si>
    <t>경신고등학교</t>
  </si>
  <si>
    <t>영어교육학</t>
  </si>
  <si>
    <r>
      <rPr>
        <sz val="10"/>
        <color theme="1"/>
        <rFont val="맑은 고딕"/>
        <family val="3"/>
        <charset val="129"/>
      </rPr>
      <t>교실혁명</t>
    </r>
    <r>
      <rPr>
        <sz val="10"/>
        <color theme="1"/>
        <rFont val="맑은 고딕"/>
        <family val="2"/>
        <scheme val="minor"/>
      </rPr>
      <t xml:space="preserve"> </t>
    </r>
    <r>
      <rPr>
        <sz val="10"/>
        <color theme="1"/>
        <rFont val="맑은 고딕"/>
        <family val="3"/>
        <charset val="129"/>
      </rPr>
      <t>선도교사</t>
    </r>
  </si>
  <si>
    <t>AI디지털 전문학습공동체 참여</t>
  </si>
  <si>
    <t>김지애</t>
    <phoneticPr fontId="2" type="noConversion"/>
  </si>
  <si>
    <t>19870310</t>
    <phoneticPr fontId="2" type="noConversion"/>
  </si>
  <si>
    <t>화정고등학교</t>
    <phoneticPr fontId="2" type="noConversion"/>
  </si>
  <si>
    <t>수학</t>
    <phoneticPr fontId="2" type="noConversion"/>
  </si>
  <si>
    <t>에듀핏(2023), 디지털 100선(2024)경기 ib연구회, 전국수업평가연구회</t>
  </si>
  <si>
    <t>김지연</t>
  </si>
  <si>
    <t>대구남명초등학교</t>
  </si>
  <si>
    <r>
      <t xml:space="preserve">2024. </t>
    </r>
    <r>
      <rPr>
        <sz val="10"/>
        <color theme="1"/>
        <rFont val="맑은 고딕"/>
        <family val="3"/>
        <charset val="129"/>
      </rPr>
      <t>디지털기반</t>
    </r>
    <r>
      <rPr>
        <sz val="10"/>
        <color theme="1"/>
        <rFont val="맑은 고딕"/>
        <family val="2"/>
        <scheme val="minor"/>
      </rPr>
      <t xml:space="preserve"> </t>
    </r>
    <r>
      <rPr>
        <sz val="10"/>
        <color theme="1"/>
        <rFont val="맑은 고딕"/>
        <family val="3"/>
        <charset val="129"/>
      </rPr>
      <t>수업혁신</t>
    </r>
    <r>
      <rPr>
        <sz val="10"/>
        <color theme="1"/>
        <rFont val="맑은 고딕"/>
        <family val="2"/>
        <scheme val="minor"/>
      </rPr>
      <t xml:space="preserve"> </t>
    </r>
    <r>
      <rPr>
        <sz val="10"/>
        <color theme="1"/>
        <rFont val="맑은 고딕"/>
        <family val="3"/>
        <charset val="129"/>
      </rPr>
      <t>역량강화</t>
    </r>
    <r>
      <rPr>
        <sz val="10"/>
        <color theme="1"/>
        <rFont val="맑은 고딕"/>
        <family val="2"/>
        <scheme val="minor"/>
      </rPr>
      <t xml:space="preserve"> </t>
    </r>
    <r>
      <rPr>
        <sz val="10"/>
        <color theme="1"/>
        <rFont val="맑은 고딕"/>
        <family val="3"/>
        <charset val="129"/>
      </rPr>
      <t>연수</t>
    </r>
    <r>
      <rPr>
        <sz val="10"/>
        <color theme="1"/>
        <rFont val="맑은 고딕"/>
        <family val="2"/>
        <scheme val="minor"/>
      </rPr>
      <t xml:space="preserve"> </t>
    </r>
    <r>
      <rPr>
        <sz val="10"/>
        <color theme="1"/>
        <rFont val="맑은 고딕"/>
        <family val="3"/>
        <charset val="129"/>
      </rPr>
      <t xml:space="preserve">강사
</t>
    </r>
    <r>
      <rPr>
        <sz val="10"/>
        <color theme="1"/>
        <rFont val="맑은 고딕"/>
        <family val="2"/>
        <scheme val="minor"/>
      </rPr>
      <t>2022. EBS AI</t>
    </r>
    <r>
      <rPr>
        <sz val="10"/>
        <color theme="1"/>
        <rFont val="맑은 고딕"/>
        <family val="3"/>
        <charset val="129"/>
      </rPr>
      <t>프로그램</t>
    </r>
    <r>
      <rPr>
        <sz val="10"/>
        <color theme="1"/>
        <rFont val="맑은 고딕"/>
        <family val="2"/>
        <scheme val="minor"/>
      </rPr>
      <t xml:space="preserve"> </t>
    </r>
    <r>
      <rPr>
        <sz val="10"/>
        <color theme="1"/>
        <rFont val="맑은 고딕"/>
        <family val="3"/>
        <charset val="129"/>
      </rPr>
      <t>검증</t>
    </r>
    <r>
      <rPr>
        <sz val="10"/>
        <color theme="1"/>
        <rFont val="맑은 고딕"/>
        <family val="2"/>
        <scheme val="minor"/>
      </rPr>
      <t xml:space="preserve"> </t>
    </r>
    <r>
      <rPr>
        <sz val="10"/>
        <color theme="1"/>
        <rFont val="맑은 고딕"/>
        <family val="3"/>
        <charset val="129"/>
      </rPr>
      <t xml:space="preserve">평가단
</t>
    </r>
    <r>
      <rPr>
        <sz val="10"/>
        <color theme="1"/>
        <rFont val="맑은 고딕"/>
        <family val="2"/>
        <scheme val="minor"/>
      </rPr>
      <t xml:space="preserve">2022. </t>
    </r>
    <r>
      <rPr>
        <sz val="10"/>
        <color theme="1"/>
        <rFont val="맑은 고딕"/>
        <family val="3"/>
        <charset val="129"/>
      </rPr>
      <t>대구</t>
    </r>
    <r>
      <rPr>
        <sz val="10"/>
        <color theme="1"/>
        <rFont val="맑은 고딕"/>
        <family val="2"/>
        <scheme val="minor"/>
      </rPr>
      <t xml:space="preserve"> </t>
    </r>
    <r>
      <rPr>
        <sz val="10"/>
        <color theme="1"/>
        <rFont val="맑은 고딕"/>
        <family val="3"/>
        <charset val="129"/>
      </rPr>
      <t>진로위기청소년</t>
    </r>
    <r>
      <rPr>
        <sz val="10"/>
        <color theme="1"/>
        <rFont val="맑은 고딕"/>
        <family val="2"/>
        <scheme val="minor"/>
      </rPr>
      <t xml:space="preserve"> </t>
    </r>
    <r>
      <rPr>
        <sz val="10"/>
        <color theme="1"/>
        <rFont val="맑은 고딕"/>
        <family val="3"/>
        <charset val="129"/>
      </rPr>
      <t>학교협업</t>
    </r>
    <r>
      <rPr>
        <sz val="10"/>
        <color theme="1"/>
        <rFont val="맑은 고딕"/>
        <family val="2"/>
        <scheme val="minor"/>
      </rPr>
      <t xml:space="preserve"> </t>
    </r>
    <r>
      <rPr>
        <sz val="10"/>
        <color theme="1"/>
        <rFont val="맑은 고딕"/>
        <family val="3"/>
        <charset val="129"/>
      </rPr>
      <t>진로교육연구회</t>
    </r>
    <r>
      <rPr>
        <sz val="10"/>
        <color theme="1"/>
        <rFont val="맑은 고딕"/>
        <family val="2"/>
        <scheme val="minor"/>
      </rPr>
      <t xml:space="preserve"> </t>
    </r>
    <r>
      <rPr>
        <sz val="10"/>
        <color theme="1"/>
        <rFont val="맑은 고딕"/>
        <family val="3"/>
        <charset val="129"/>
      </rPr>
      <t xml:space="preserve">운영
</t>
    </r>
    <r>
      <rPr>
        <sz val="10"/>
        <color theme="1"/>
        <rFont val="맑은 고딕"/>
        <family val="2"/>
        <scheme val="minor"/>
      </rPr>
      <t xml:space="preserve">2021. </t>
    </r>
    <r>
      <rPr>
        <sz val="10"/>
        <color theme="1"/>
        <rFont val="맑은 고딕"/>
        <family val="3"/>
        <charset val="129"/>
      </rPr>
      <t>한국과학창의재단</t>
    </r>
    <r>
      <rPr>
        <sz val="10"/>
        <color theme="1"/>
        <rFont val="맑은 고딕"/>
        <family val="2"/>
        <scheme val="minor"/>
      </rPr>
      <t xml:space="preserve"> </t>
    </r>
    <r>
      <rPr>
        <sz val="10"/>
        <color theme="1"/>
        <rFont val="맑은 고딕"/>
        <family val="3"/>
        <charset val="129"/>
      </rPr>
      <t>과학교사연구회</t>
    </r>
    <r>
      <rPr>
        <sz val="10"/>
        <color theme="1"/>
        <rFont val="맑은 고딕"/>
        <family val="2"/>
        <scheme val="minor"/>
      </rPr>
      <t xml:space="preserve"> </t>
    </r>
    <r>
      <rPr>
        <sz val="10"/>
        <color theme="1"/>
        <rFont val="맑은 고딕"/>
        <family val="3"/>
        <charset val="129"/>
      </rPr>
      <t xml:space="preserve">운영
</t>
    </r>
    <r>
      <rPr>
        <sz val="10"/>
        <color theme="1"/>
        <rFont val="맑은 고딕"/>
        <family val="2"/>
        <scheme val="minor"/>
      </rPr>
      <t xml:space="preserve">2021. </t>
    </r>
    <r>
      <rPr>
        <sz val="10"/>
        <color theme="1"/>
        <rFont val="맑은 고딕"/>
        <family val="3"/>
        <charset val="129"/>
      </rPr>
      <t>과학교사</t>
    </r>
    <r>
      <rPr>
        <sz val="10"/>
        <color theme="1"/>
        <rFont val="맑은 고딕"/>
        <family val="2"/>
        <scheme val="minor"/>
      </rPr>
      <t xml:space="preserve"> </t>
    </r>
    <r>
      <rPr>
        <sz val="10"/>
        <color theme="1"/>
        <rFont val="맑은 고딕"/>
        <family val="3"/>
        <charset val="129"/>
      </rPr>
      <t>안전연수</t>
    </r>
    <r>
      <rPr>
        <sz val="10"/>
        <color theme="1"/>
        <rFont val="맑은 고딕"/>
        <family val="2"/>
        <scheme val="minor"/>
      </rPr>
      <t xml:space="preserve"> </t>
    </r>
    <r>
      <rPr>
        <sz val="10"/>
        <color theme="1"/>
        <rFont val="맑은 고딕"/>
        <family val="3"/>
        <charset val="129"/>
      </rPr>
      <t>강사</t>
    </r>
  </si>
  <si>
    <t>김진원</t>
    <phoneticPr fontId="2" type="noConversion"/>
  </si>
  <si>
    <t>19900301</t>
    <phoneticPr fontId="2" type="noConversion"/>
  </si>
  <si>
    <t>사창초등학교</t>
    <phoneticPr fontId="2" type="noConversion"/>
  </si>
  <si>
    <t>교육방법</t>
    <phoneticPr fontId="2" type="noConversion"/>
  </si>
  <si>
    <t>디지털 개념체계 연구(22), 디지털 역량 진단문항 개발 연구(23)</t>
  </si>
  <si>
    <t>김태우</t>
  </si>
  <si>
    <t>대구달성초등학교</t>
  </si>
  <si>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장관상</t>
    </r>
    <r>
      <rPr>
        <sz val="10"/>
        <color theme="1"/>
        <rFont val="맑은 고딕"/>
        <family val="2"/>
        <scheme val="minor"/>
      </rPr>
      <t xml:space="preserve"> </t>
    </r>
    <r>
      <rPr>
        <sz val="10"/>
        <color theme="1"/>
        <rFont val="맑은 고딕"/>
        <family val="3"/>
        <charset val="129"/>
      </rPr>
      <t>수상</t>
    </r>
    <r>
      <rPr>
        <sz val="10"/>
        <color theme="1"/>
        <rFont val="맑은 고딕"/>
        <family val="2"/>
        <scheme val="minor"/>
      </rPr>
      <t>('23.12.29)</t>
    </r>
  </si>
  <si>
    <t/>
  </si>
  <si>
    <t>김한새</t>
    <phoneticPr fontId="12" type="noConversion"/>
  </si>
  <si>
    <t>19940510</t>
    <phoneticPr fontId="12" type="noConversion"/>
  </si>
  <si>
    <t>석적초등학교</t>
    <phoneticPr fontId="12" type="noConversion"/>
  </si>
  <si>
    <t>교사</t>
    <phoneticPr fontId="12" type="noConversion"/>
  </si>
  <si>
    <t>학사</t>
    <phoneticPr fontId="12" type="noConversion"/>
  </si>
  <si>
    <t>교육학과</t>
    <phoneticPr fontId="12" type="noConversion"/>
  </si>
  <si>
    <t>교실혁명연수/4시간/주강사,보조강사/창비
에듀테크 사용 연수/2시간/주강사/경상북도 교육청
교실혁명/주강사,보조강사/창비</t>
  </si>
  <si>
    <t>정보교과연구회 참여</t>
  </si>
  <si>
    <t>김호영</t>
    <phoneticPr fontId="12" type="noConversion"/>
  </si>
  <si>
    <t>19931206</t>
    <phoneticPr fontId="12" type="noConversion"/>
  </si>
  <si>
    <t>빛가람초등학교</t>
    <phoneticPr fontId="12" type="noConversion"/>
  </si>
  <si>
    <t>초등교육과</t>
    <phoneticPr fontId="12" type="noConversion"/>
  </si>
  <si>
    <t>1. 교육부 교실혁명선도교사 멘토 
2. 전라남도교육청 및 직속기관 
에듀테크 활용 수업 연수 강사</t>
  </si>
  <si>
    <t>전국단위 수업연구회(영호남AI융합수업연구회)</t>
  </si>
  <si>
    <t>나윤철</t>
    <phoneticPr fontId="12" type="noConversion"/>
  </si>
  <si>
    <t>19891115</t>
    <phoneticPr fontId="12" type="noConversion"/>
  </si>
  <si>
    <t>빛가람초</t>
    <phoneticPr fontId="12" type="noConversion"/>
  </si>
  <si>
    <t>교육부 장관상 수상('24.12.27)</t>
    <phoneticPr fontId="12" type="noConversion"/>
  </si>
  <si>
    <t>남민정</t>
    <phoneticPr fontId="12" type="noConversion"/>
  </si>
  <si>
    <t>산격중학교</t>
    <phoneticPr fontId="12" type="noConversion"/>
  </si>
  <si>
    <t>석사</t>
    <phoneticPr fontId="12" type="noConversion"/>
  </si>
  <si>
    <t>AI융합교육</t>
    <phoneticPr fontId="12" type="noConversion"/>
  </si>
  <si>
    <r>
      <t xml:space="preserve">2022 </t>
    </r>
    <r>
      <rPr>
        <sz val="10"/>
        <color theme="1"/>
        <rFont val="맑은 고딕"/>
        <family val="3"/>
        <charset val="129"/>
      </rPr>
      <t>수업혁신사례</t>
    </r>
    <r>
      <rPr>
        <sz val="10"/>
        <color theme="1"/>
        <rFont val="맑은 고딕"/>
        <family val="2"/>
        <scheme val="minor"/>
      </rPr>
      <t xml:space="preserve"> </t>
    </r>
    <r>
      <rPr>
        <sz val="10"/>
        <color theme="1"/>
        <rFont val="맑은 고딕"/>
        <family val="3"/>
        <charset val="129"/>
      </rPr>
      <t>연구대회</t>
    </r>
    <r>
      <rPr>
        <sz val="10"/>
        <color theme="1"/>
        <rFont val="맑은 고딕"/>
        <family val="2"/>
        <scheme val="minor"/>
      </rPr>
      <t xml:space="preserve"> </t>
    </r>
    <r>
      <rPr>
        <sz val="10"/>
        <color theme="1"/>
        <rFont val="맑은 고딕"/>
        <family val="3"/>
        <charset val="129"/>
      </rPr>
      <t>전국대회</t>
    </r>
    <r>
      <rPr>
        <sz val="10"/>
        <color theme="1"/>
        <rFont val="맑은 고딕"/>
        <family val="2"/>
        <scheme val="minor"/>
      </rPr>
      <t xml:space="preserve"> 3</t>
    </r>
    <r>
      <rPr>
        <sz val="10"/>
        <color theme="1"/>
        <rFont val="맑은 고딕"/>
        <family val="3"/>
        <charset val="129"/>
      </rPr>
      <t>등급</t>
    </r>
    <r>
      <rPr>
        <sz val="10"/>
        <color theme="1"/>
        <rFont val="맑은 고딕"/>
        <family val="2"/>
        <scheme val="minor"/>
      </rPr>
      <t>('22.12.26)</t>
    </r>
  </si>
  <si>
    <t>AIDT 연계 교사전문학습공동체(공동체명: Edtouch)
 - AIDT 주요 기능을 적용한 초중등 교과별 주요 단원 개발</t>
  </si>
  <si>
    <t>남호련</t>
    <phoneticPr fontId="12" type="noConversion"/>
  </si>
  <si>
    <t>19970503</t>
    <phoneticPr fontId="12" type="noConversion"/>
  </si>
  <si>
    <t>구평초등학고</t>
    <phoneticPr fontId="12" type="noConversion"/>
  </si>
  <si>
    <t>컴퓨터</t>
    <phoneticPr fontId="12" type="noConversion"/>
  </si>
  <si>
    <t>교실혁명 선도교원 양성 연수 강사( 2024. 07.) 
디지털 기반 교육혁신 연수 강사(2024. 11.)</t>
    <phoneticPr fontId="12" type="noConversion"/>
  </si>
  <si>
    <t>정보교과 교사학습 공동체</t>
  </si>
  <si>
    <t>박성락</t>
  </si>
  <si>
    <t>19860424</t>
  </si>
  <si>
    <t>성산초등학교</t>
  </si>
  <si>
    <t>교육감 표창 수상 ('24.12.31)</t>
    <phoneticPr fontId="12" type="noConversion"/>
  </si>
  <si>
    <t>질문이 살아있는 교실 만들기/지능형 탐구 키움터</t>
  </si>
  <si>
    <t>박소영</t>
  </si>
  <si>
    <t>19841012</t>
  </si>
  <si>
    <t>봉황고등학교</t>
  </si>
  <si>
    <t>교육행정</t>
  </si>
  <si>
    <t>교실에서 시작하는 디지털 시민성 교육/15시간/티처빌원격연수원
교실에서 시작하는 디지털 시민성 교육
디지털 네이티브 아이들의 메타버스/15시간/아이스크림원격연수원
텔짱샘의 컴퓨터 활용 꼼수, 이제 나도 스마트/15시간/아이스크림원격연수원
IB DP프로그램 수업 평가 전문가 양성 과정/10시간/대구행복한미래재단
평가의 재해석, 시험을 의심하다./15시간/티처빌원격연수원
고교학점제, 최소성취수준보장지도의 이해와 실제/15시간/중앙교육연수원
IB DP교원 수업역량강화직무연수/15시간/전라남도교육연수원</t>
    <phoneticPr fontId="12" type="noConversion"/>
  </si>
  <si>
    <t>박애란</t>
  </si>
  <si>
    <t>19861016</t>
  </si>
  <si>
    <t>인평중학교</t>
  </si>
  <si>
    <t>생물교육</t>
  </si>
  <si>
    <t>청소년 과학탐구대회 입상/지도자 표창4회/
과학교육 유공 교원 교육감 표창 1회수상/
영재교육원 지도자 경력/국외시찰 및 수학경력(중국1회)/
2024디지털기반 교육혁신 자율연수 참가
교육과정,평가, 수업개선 관련연수 매년 연간90시간이상미수</t>
  </si>
  <si>
    <t>박우성</t>
  </si>
  <si>
    <t>19930104.</t>
    <phoneticPr fontId="2" type="noConversion"/>
  </si>
  <si>
    <t>매향중학교</t>
  </si>
  <si>
    <t>영어영문학(교직 이수)</t>
  </si>
  <si>
    <t>전남 국제교육원 원장상 수상 ('21.)</t>
  </si>
  <si>
    <t>YMB 중학 영어 교과서 해설서 일부 집필('22)(전국)스노우볼 교사학습 공동체</t>
  </si>
  <si>
    <t>박준</t>
  </si>
  <si>
    <t>19770131</t>
  </si>
  <si>
    <t>완산중학교</t>
  </si>
  <si>
    <t>정보,컴퓨터</t>
  </si>
  <si>
    <t>Microsoft Innovative Educator Expert (2015~2025) 
2022 교육부 기술가정실과 정보 교육과정 심의위원
2023 교육부 학교생활기록부 중앙지원단 2022 교육부 학생평가 중앙지원단 
2022 전라북도교육청 중학교 교육과정 개정 검토 위원 및 정책연구위원 
2023 전라북도교육청 학업성적관리시행지침 검토 위원 
2024 전북특별자치도교육청 미래학교컨설턴트 
2024 전북특별자치도교육청 중등AI정보교과연구회 회장 
전북특별자치도교육청미래교육연구원 연수 강사 (2010년~) 
전북특별자치도교육청미래교육연구원 AI영재교육원 담임교사(2012년~
전북특별자치도교육청 교육연수원 연수 강사(2015년~)</t>
    <phoneticPr fontId="12" type="noConversion"/>
  </si>
  <si>
    <t>박지나</t>
  </si>
  <si>
    <t>19741108</t>
  </si>
  <si>
    <t>보평고등학교</t>
  </si>
  <si>
    <t>AI기반 책열매 활용하기/2024.11.25.(8시간)/중앙교육연수원
생성형 AI를 활용한 교사업무 경감/2024.10.16.(3시간)/보평고
신기술 기반 미래교육입문하기(AI, AR/VR,메타버스 활용 교육활동
중심) 원격직무연수/2023.11.25.(15시간)/중앙교육연수원
2022개정 교육과정의개념기반 국어수업/2025.01.21.(4시간)/창비
사고력을 키워주는서·논술형 평가(중등)원격직무연수/2022.06.30.(15시간)/경기도교육청교육연수원</t>
    <phoneticPr fontId="12" type="noConversion"/>
  </si>
  <si>
    <t>박하리</t>
  </si>
  <si>
    <t>19980120</t>
  </si>
  <si>
    <t>경북소고</t>
  </si>
  <si>
    <t>구미교육청, 영재교육강사/SPEC교과문항 출제위원
AI선도학교 3년 운영</t>
    <phoneticPr fontId="12" type="noConversion"/>
  </si>
  <si>
    <t>배재성</t>
  </si>
  <si>
    <t>대구송정초등학교</t>
  </si>
  <si>
    <t>컴퓨터심화</t>
  </si>
  <si>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장관상</t>
    </r>
    <r>
      <rPr>
        <sz val="10"/>
        <color theme="1"/>
        <rFont val="맑은 고딕"/>
        <family val="2"/>
        <scheme val="minor"/>
      </rPr>
      <t xml:space="preserve"> </t>
    </r>
    <r>
      <rPr>
        <sz val="10"/>
        <color theme="1"/>
        <rFont val="맑은 고딕"/>
        <family val="3"/>
        <charset val="129"/>
      </rPr>
      <t>수상</t>
    </r>
    <r>
      <rPr>
        <sz val="10"/>
        <color theme="1"/>
        <rFont val="맑은 고딕"/>
        <family val="2"/>
        <scheme val="minor"/>
      </rPr>
      <t xml:space="preserve">('24.12.31)
 </t>
    </r>
    <r>
      <rPr>
        <sz val="10"/>
        <color theme="1"/>
        <rFont val="맑은 고딕"/>
        <family val="3"/>
        <charset val="129"/>
      </rPr>
      <t>디지털</t>
    </r>
    <r>
      <rPr>
        <sz val="10"/>
        <color theme="1"/>
        <rFont val="맑은 고딕"/>
        <family val="2"/>
        <scheme val="minor"/>
      </rPr>
      <t xml:space="preserve"> </t>
    </r>
    <r>
      <rPr>
        <sz val="10"/>
        <color theme="1"/>
        <rFont val="맑은 고딕"/>
        <family val="3"/>
        <charset val="129"/>
      </rPr>
      <t>기반</t>
    </r>
    <r>
      <rPr>
        <sz val="10"/>
        <color theme="1"/>
        <rFont val="맑은 고딕"/>
        <family val="2"/>
        <scheme val="minor"/>
      </rPr>
      <t xml:space="preserve"> </t>
    </r>
    <r>
      <rPr>
        <sz val="10"/>
        <color theme="1"/>
        <rFont val="맑은 고딕"/>
        <family val="3"/>
        <charset val="129"/>
      </rPr>
      <t>교육혁신</t>
    </r>
    <r>
      <rPr>
        <sz val="10"/>
        <color theme="1"/>
        <rFont val="맑은 고딕"/>
        <family val="2"/>
        <scheme val="minor"/>
      </rPr>
      <t xml:space="preserve"> </t>
    </r>
    <r>
      <rPr>
        <sz val="10"/>
        <color theme="1"/>
        <rFont val="맑은 고딕"/>
        <family val="3"/>
        <charset val="129"/>
      </rPr>
      <t>선도학교</t>
    </r>
    <r>
      <rPr>
        <sz val="10"/>
        <color theme="1"/>
        <rFont val="맑은 고딕"/>
        <family val="2"/>
        <scheme val="minor"/>
      </rPr>
      <t xml:space="preserve"> </t>
    </r>
    <r>
      <rPr>
        <sz val="10"/>
        <color theme="1"/>
        <rFont val="맑은 고딕"/>
        <family val="3"/>
        <charset val="129"/>
      </rPr>
      <t>주무</t>
    </r>
    <r>
      <rPr>
        <sz val="10"/>
        <color theme="1"/>
        <rFont val="맑은 고딕"/>
        <family val="2"/>
        <scheme val="minor"/>
      </rPr>
      <t>(`23,`24)</t>
    </r>
  </si>
  <si>
    <t>AI 활용 수학교육 연구회('22,`23,`24)초등교원전문학습공동체 책임리더('22,`23,`24)</t>
  </si>
  <si>
    <t>배현우</t>
  </si>
  <si>
    <t>대구삼영초등학교</t>
  </si>
  <si>
    <t>교육공학</t>
  </si>
  <si>
    <r>
      <t xml:space="preserve">	</t>
    </r>
    <r>
      <rPr>
        <sz val="10"/>
        <color theme="1"/>
        <rFont val="맑은 고딕"/>
        <family val="3"/>
        <charset val="129"/>
      </rPr>
      <t>교육부장관</t>
    </r>
    <r>
      <rPr>
        <sz val="10"/>
        <color theme="1"/>
        <rFont val="맑은 고딕"/>
        <family val="2"/>
        <scheme val="minor"/>
      </rPr>
      <t>(</t>
    </r>
    <r>
      <rPr>
        <sz val="10"/>
        <color theme="1"/>
        <rFont val="맑은 고딕"/>
        <family val="3"/>
        <charset val="129"/>
      </rPr>
      <t>학교</t>
    </r>
    <r>
      <rPr>
        <sz val="10"/>
        <color theme="1"/>
        <rFont val="맑은 고딕"/>
        <family val="2"/>
        <scheme val="minor"/>
      </rPr>
      <t>)</t>
    </r>
    <r>
      <rPr>
        <sz val="10"/>
        <color theme="1"/>
        <rFont val="맑은 고딕"/>
        <family val="3"/>
        <charset val="129"/>
      </rPr>
      <t xml:space="preserve">표창
</t>
    </r>
    <r>
      <rPr>
        <sz val="10"/>
        <color theme="1"/>
        <rFont val="맑은 고딕"/>
        <family val="2"/>
        <scheme val="minor"/>
      </rPr>
      <t xml:space="preserve"> 24.12.31.</t>
    </r>
  </si>
  <si>
    <t>IB PYP 개념기반탐구학습 관련 교사 전문학습공동체 참여(2022-2024)</t>
  </si>
  <si>
    <t>백재열</t>
  </si>
  <si>
    <t>서대구초등학교</t>
  </si>
  <si>
    <r>
      <t>2024.</t>
    </r>
    <r>
      <rPr>
        <sz val="10"/>
        <color theme="1"/>
        <rFont val="맑은 고딕"/>
        <family val="3"/>
        <charset val="129"/>
      </rPr>
      <t>디지털기반</t>
    </r>
    <r>
      <rPr>
        <sz val="10"/>
        <color theme="1"/>
        <rFont val="맑은 고딕"/>
        <family val="2"/>
        <scheme val="minor"/>
      </rPr>
      <t xml:space="preserve"> </t>
    </r>
    <r>
      <rPr>
        <sz val="10"/>
        <color theme="1"/>
        <rFont val="맑은 고딕"/>
        <family val="3"/>
        <charset val="129"/>
      </rPr>
      <t xml:space="preserve">수업혁신연수
</t>
    </r>
    <r>
      <rPr>
        <sz val="10"/>
        <color theme="1"/>
        <rFont val="맑은 고딕"/>
        <family val="2"/>
        <scheme val="minor"/>
      </rPr>
      <t>2022.</t>
    </r>
    <r>
      <rPr>
        <sz val="10"/>
        <color theme="1"/>
        <rFont val="맑은 고딕"/>
        <family val="3"/>
        <charset val="129"/>
      </rPr>
      <t>메타버스로</t>
    </r>
    <r>
      <rPr>
        <sz val="10"/>
        <color theme="1"/>
        <rFont val="맑은 고딕"/>
        <family val="2"/>
        <scheme val="minor"/>
      </rPr>
      <t xml:space="preserve"> </t>
    </r>
    <r>
      <rPr>
        <sz val="10"/>
        <color theme="1"/>
        <rFont val="맑은 고딕"/>
        <family val="3"/>
        <charset val="129"/>
      </rPr>
      <t>만드는</t>
    </r>
    <r>
      <rPr>
        <sz val="10"/>
        <color theme="1"/>
        <rFont val="맑은 고딕"/>
        <family val="2"/>
        <scheme val="minor"/>
      </rPr>
      <t xml:space="preserve"> </t>
    </r>
    <r>
      <rPr>
        <sz val="10"/>
        <color theme="1"/>
        <rFont val="맑은 고딕"/>
        <family val="3"/>
        <charset val="129"/>
      </rPr>
      <t>우리들의</t>
    </r>
    <r>
      <rPr>
        <sz val="10"/>
        <color theme="1"/>
        <rFont val="맑은 고딕"/>
        <family val="2"/>
        <scheme val="minor"/>
      </rPr>
      <t xml:space="preserve"> </t>
    </r>
    <r>
      <rPr>
        <sz val="10"/>
        <color theme="1"/>
        <rFont val="맑은 고딕"/>
        <family val="3"/>
        <charset val="129"/>
      </rPr>
      <t>미래학교</t>
    </r>
  </si>
  <si>
    <t>사공정일</t>
  </si>
  <si>
    <t>대구율하초등학교</t>
  </si>
  <si>
    <r>
      <rPr>
        <sz val="10"/>
        <color theme="1"/>
        <rFont val="맑은 고딕"/>
        <family val="3"/>
        <charset val="129"/>
      </rPr>
      <t>교육부장관</t>
    </r>
    <r>
      <rPr>
        <sz val="10"/>
        <color theme="1"/>
        <rFont val="맑은 고딕"/>
        <family val="2"/>
        <scheme val="minor"/>
      </rPr>
      <t xml:space="preserve"> </t>
    </r>
    <r>
      <rPr>
        <sz val="10"/>
        <color theme="1"/>
        <rFont val="맑은 고딕"/>
        <family val="3"/>
        <charset val="129"/>
      </rPr>
      <t>표창</t>
    </r>
    <r>
      <rPr>
        <sz val="10"/>
        <color theme="1"/>
        <rFont val="맑은 고딕"/>
        <family val="2"/>
        <scheme val="minor"/>
      </rPr>
      <t xml:space="preserve">(23.12.31.), </t>
    </r>
    <r>
      <rPr>
        <sz val="10"/>
        <color theme="1"/>
        <rFont val="맑은 고딕"/>
        <family val="3"/>
        <charset val="129"/>
      </rPr>
      <t>디지털기반교육혁신</t>
    </r>
    <r>
      <rPr>
        <sz val="10"/>
        <color theme="1"/>
        <rFont val="맑은 고딕"/>
        <family val="2"/>
        <scheme val="minor"/>
      </rPr>
      <t xml:space="preserve"> </t>
    </r>
    <r>
      <rPr>
        <sz val="10"/>
        <color theme="1"/>
        <rFont val="맑은 고딕"/>
        <family val="3"/>
        <charset val="129"/>
      </rPr>
      <t>연수</t>
    </r>
    <r>
      <rPr>
        <sz val="10"/>
        <color theme="1"/>
        <rFont val="맑은 고딕"/>
        <family val="2"/>
        <scheme val="minor"/>
      </rPr>
      <t xml:space="preserve"> </t>
    </r>
    <r>
      <rPr>
        <sz val="10"/>
        <color theme="1"/>
        <rFont val="맑은 고딕"/>
        <family val="3"/>
        <charset val="129"/>
      </rPr>
      <t>강의</t>
    </r>
    <r>
      <rPr>
        <sz val="10"/>
        <color theme="1"/>
        <rFont val="맑은 고딕"/>
        <family val="2"/>
        <scheme val="minor"/>
      </rPr>
      <t xml:space="preserve"> (24), KERIS </t>
    </r>
    <r>
      <rPr>
        <sz val="10"/>
        <color theme="1"/>
        <rFont val="맑은 고딕"/>
        <family val="3"/>
        <charset val="129"/>
      </rPr>
      <t>에듀테크실증사례공모전</t>
    </r>
    <r>
      <rPr>
        <sz val="10"/>
        <color theme="1"/>
        <rFont val="맑은 고딕"/>
        <family val="2"/>
        <scheme val="minor"/>
      </rPr>
      <t xml:space="preserve"> </t>
    </r>
    <r>
      <rPr>
        <sz val="10"/>
        <color theme="1"/>
        <rFont val="맑은 고딕"/>
        <family val="3"/>
        <charset val="129"/>
      </rPr>
      <t>우수상</t>
    </r>
    <r>
      <rPr>
        <sz val="10"/>
        <color theme="1"/>
        <rFont val="맑은 고딕"/>
        <family val="2"/>
        <scheme val="minor"/>
      </rPr>
      <t xml:space="preserve">(22), 
KERIS </t>
    </r>
    <r>
      <rPr>
        <sz val="10"/>
        <color theme="1"/>
        <rFont val="맑은 고딕"/>
        <family val="3"/>
        <charset val="129"/>
      </rPr>
      <t>디지털기반교육혁신선도학교</t>
    </r>
    <r>
      <rPr>
        <sz val="10"/>
        <color theme="1"/>
        <rFont val="맑은 고딕"/>
        <family val="2"/>
        <scheme val="minor"/>
      </rPr>
      <t xml:space="preserve"> </t>
    </r>
    <r>
      <rPr>
        <sz val="10"/>
        <color theme="1"/>
        <rFont val="맑은 고딕"/>
        <family val="3"/>
        <charset val="129"/>
      </rPr>
      <t>지원단</t>
    </r>
    <r>
      <rPr>
        <sz val="10"/>
        <color theme="1"/>
        <rFont val="맑은 고딕"/>
        <family val="2"/>
        <scheme val="minor"/>
      </rPr>
      <t xml:space="preserve">, </t>
    </r>
    <r>
      <rPr>
        <sz val="10"/>
        <color theme="1"/>
        <rFont val="맑은 고딕"/>
        <family val="3"/>
        <charset val="129"/>
      </rPr>
      <t>대구에듀테크지원단</t>
    </r>
    <r>
      <rPr>
        <sz val="10"/>
        <color theme="1"/>
        <rFont val="맑은 고딕"/>
        <family val="2"/>
        <scheme val="minor"/>
      </rPr>
      <t xml:space="preserve">(21~24), </t>
    </r>
    <r>
      <rPr>
        <sz val="10"/>
        <color theme="1"/>
        <rFont val="맑은 고딕"/>
        <family val="3"/>
        <charset val="129"/>
      </rPr>
      <t>찾아가는</t>
    </r>
    <r>
      <rPr>
        <sz val="10"/>
        <color theme="1"/>
        <rFont val="맑은 고딕"/>
        <family val="2"/>
        <scheme val="minor"/>
      </rPr>
      <t xml:space="preserve"> SW-AI</t>
    </r>
    <r>
      <rPr>
        <sz val="10"/>
        <color theme="1"/>
        <rFont val="맑은 고딕"/>
        <family val="3"/>
        <charset val="129"/>
      </rPr>
      <t>지원단</t>
    </r>
    <r>
      <rPr>
        <sz val="10"/>
        <color theme="1"/>
        <rFont val="맑은 고딕"/>
        <family val="2"/>
        <scheme val="minor"/>
      </rPr>
      <t xml:space="preserve">, 
</t>
    </r>
    <r>
      <rPr>
        <sz val="10"/>
        <color theme="1"/>
        <rFont val="맑은 고딕"/>
        <family val="3"/>
        <charset val="129"/>
      </rPr>
      <t>미래형수업지원단</t>
    </r>
    <r>
      <rPr>
        <sz val="10"/>
        <color theme="1"/>
        <rFont val="맑은 고딕"/>
        <family val="2"/>
        <scheme val="minor"/>
      </rPr>
      <t>(23),</t>
    </r>
    <r>
      <rPr>
        <sz val="10"/>
        <color theme="1"/>
        <rFont val="맑은 고딕"/>
        <family val="3"/>
        <charset val="129"/>
      </rPr>
      <t>똑똑수학탐험대선도교원</t>
    </r>
    <r>
      <rPr>
        <sz val="10"/>
        <color theme="1"/>
        <rFont val="맑은 고딕"/>
        <family val="2"/>
        <scheme val="minor"/>
      </rPr>
      <t xml:space="preserve">(24), </t>
    </r>
    <r>
      <rPr>
        <sz val="10"/>
        <color theme="1"/>
        <rFont val="맑은 고딕"/>
        <family val="3"/>
        <charset val="129"/>
      </rPr>
      <t>에듀테크실증전문가연수</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 xml:space="preserve">(23~24), 
</t>
    </r>
    <r>
      <rPr>
        <sz val="10"/>
        <color theme="1"/>
        <rFont val="맑은 고딕"/>
        <family val="3"/>
        <charset val="129"/>
      </rPr>
      <t>영재학급컨설팅단</t>
    </r>
    <r>
      <rPr>
        <sz val="10"/>
        <color theme="1"/>
        <rFont val="맑은 고딕"/>
        <family val="2"/>
        <scheme val="minor"/>
      </rPr>
      <t xml:space="preserve">, </t>
    </r>
    <r>
      <rPr>
        <sz val="10"/>
        <color theme="1"/>
        <rFont val="맑은 고딕"/>
        <family val="3"/>
        <charset val="129"/>
      </rPr>
      <t>지식샘터</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 xml:space="preserve">, </t>
    </r>
    <r>
      <rPr>
        <sz val="10"/>
        <color theme="1"/>
        <rFont val="맑은 고딕"/>
        <family val="3"/>
        <charset val="129"/>
      </rPr>
      <t>에듀테크</t>
    </r>
    <r>
      <rPr>
        <sz val="10"/>
        <color theme="1"/>
        <rFont val="맑은 고딕"/>
        <family val="2"/>
        <scheme val="minor"/>
      </rPr>
      <t xml:space="preserve"> </t>
    </r>
    <r>
      <rPr>
        <sz val="10"/>
        <color theme="1"/>
        <rFont val="맑은 고딕"/>
        <family val="3"/>
        <charset val="129"/>
      </rPr>
      <t>강의</t>
    </r>
    <r>
      <rPr>
        <sz val="10"/>
        <color theme="1"/>
        <rFont val="맑은 고딕"/>
        <family val="2"/>
        <scheme val="minor"/>
      </rPr>
      <t xml:space="preserve"> </t>
    </r>
    <r>
      <rPr>
        <sz val="10"/>
        <color theme="1"/>
        <rFont val="맑은 고딕"/>
        <family val="3"/>
        <charset val="129"/>
      </rPr>
      <t>다수</t>
    </r>
    <r>
      <rPr>
        <sz val="10"/>
        <color theme="1"/>
        <rFont val="맑은 고딕"/>
        <family val="2"/>
        <scheme val="minor"/>
      </rPr>
      <t xml:space="preserve">, 
</t>
    </r>
    <r>
      <rPr>
        <sz val="10"/>
        <color theme="1"/>
        <rFont val="맑은 고딕"/>
        <family val="3"/>
        <charset val="129"/>
      </rPr>
      <t>대구</t>
    </r>
    <r>
      <rPr>
        <sz val="10"/>
        <color theme="1"/>
        <rFont val="맑은 고딕"/>
        <family val="2"/>
        <scheme val="minor"/>
      </rPr>
      <t xml:space="preserve"> </t>
    </r>
    <r>
      <rPr>
        <sz val="10"/>
        <color theme="1"/>
        <rFont val="맑은 고딕"/>
        <family val="3"/>
        <charset val="129"/>
      </rPr>
      <t>교사</t>
    </r>
    <r>
      <rPr>
        <sz val="10"/>
        <color theme="1"/>
        <rFont val="맑은 고딕"/>
        <family val="2"/>
        <scheme val="minor"/>
      </rPr>
      <t xml:space="preserve"> </t>
    </r>
    <r>
      <rPr>
        <sz val="10"/>
        <color theme="1"/>
        <rFont val="맑은 고딕"/>
        <family val="3"/>
        <charset val="129"/>
      </rPr>
      <t>크리에이터</t>
    </r>
    <r>
      <rPr>
        <sz val="10"/>
        <color theme="1"/>
        <rFont val="맑은 고딕"/>
        <family val="2"/>
        <scheme val="minor"/>
      </rPr>
      <t xml:space="preserve">(24), </t>
    </r>
    <r>
      <rPr>
        <sz val="10"/>
        <color theme="1"/>
        <rFont val="맑은 고딕"/>
        <family val="3"/>
        <charset val="129"/>
      </rPr>
      <t>에듀테크실증사업</t>
    </r>
    <r>
      <rPr>
        <sz val="10"/>
        <color theme="1"/>
        <rFont val="맑은 고딕"/>
        <family val="2"/>
        <scheme val="minor"/>
      </rPr>
      <t xml:space="preserve"> </t>
    </r>
    <r>
      <rPr>
        <sz val="10"/>
        <color theme="1"/>
        <rFont val="맑은 고딕"/>
        <family val="3"/>
        <charset val="129"/>
      </rPr>
      <t>꾸럼</t>
    </r>
    <r>
      <rPr>
        <sz val="10"/>
        <color theme="1"/>
        <rFont val="맑은 고딕"/>
        <family val="2"/>
        <scheme val="minor"/>
      </rPr>
      <t>e</t>
    </r>
    <r>
      <rPr>
        <sz val="10"/>
        <color theme="1"/>
        <rFont val="맑은 고딕"/>
        <family val="3"/>
        <charset val="129"/>
      </rPr>
      <t>팀</t>
    </r>
    <r>
      <rPr>
        <sz val="10"/>
        <color theme="1"/>
        <rFont val="맑은 고딕"/>
        <family val="2"/>
        <scheme val="minor"/>
      </rPr>
      <t xml:space="preserve"> </t>
    </r>
    <r>
      <rPr>
        <sz val="10"/>
        <color theme="1"/>
        <rFont val="맑은 고딕"/>
        <family val="3"/>
        <charset val="129"/>
      </rPr>
      <t>팀장</t>
    </r>
    <r>
      <rPr>
        <sz val="10"/>
        <color theme="1"/>
        <rFont val="맑은 고딕"/>
        <family val="2"/>
        <scheme val="minor"/>
      </rPr>
      <t>(24)</t>
    </r>
  </si>
  <si>
    <t>KERIS에듀테크활용가이드북집필진('23)
대구 AI코스웨어 가이드북 집필진('23)
대구에듀테크가이드북집필진('23)AI융합 교사전문학습 공동체</t>
  </si>
  <si>
    <t>성예린</t>
  </si>
  <si>
    <t>19970407</t>
  </si>
  <si>
    <t>온라인학교
(경산고)</t>
  </si>
  <si>
    <t>인공지능의교육적역할및윤리적활용/5시간/중앙교육연수원
피지컬 컴퓨팅을 활용한 인공지능(AI) 융합 교육/13시간/아이티존(주)
2024년 찾아가는 인공지능 교육 역량강화 직무연수/15시간/한국교육학술정보원종합교육연수원
2023년 하반기 디지털 리터러시 활용 수업 역량 강화 직무연수/2시간/경상북도교육청
중등SW-AI교육담당교원역량강화직무연수2기/12시간/경상북도교육청
디지털새싹/2024.08.01.~2024.12.31/주강사,보조강사/진주교원대학교
디지털새싹/2024.08.01.~2024.12.31/주강사,보조강사/창원대학교</t>
    <phoneticPr fontId="12" type="noConversion"/>
  </si>
  <si>
    <t>정보교사학습 공동체- aidt 활용 방안</t>
  </si>
  <si>
    <t>신은</t>
  </si>
  <si>
    <t>19771002</t>
    <phoneticPr fontId="2" type="noConversion"/>
  </si>
  <si>
    <t>산들초등학교</t>
  </si>
  <si>
    <t>교육감상(24년,23년)</t>
  </si>
  <si>
    <t>수업평가선도교사, 교실혁명연수이수</t>
  </si>
  <si>
    <t>신재경</t>
  </si>
  <si>
    <t>대구성산초등학교</t>
  </si>
  <si>
    <t>초등음악</t>
  </si>
  <si>
    <r>
      <rPr>
        <sz val="10"/>
        <color theme="1"/>
        <rFont val="맑은 고딕"/>
        <family val="3"/>
        <charset val="129"/>
      </rPr>
      <t>교육부장관</t>
    </r>
    <r>
      <rPr>
        <sz val="10"/>
        <color theme="1"/>
        <rFont val="맑은 고딕"/>
        <family val="2"/>
        <scheme val="minor"/>
      </rPr>
      <t>(</t>
    </r>
    <r>
      <rPr>
        <sz val="10"/>
        <color theme="1"/>
        <rFont val="맑은 고딕"/>
        <family val="3"/>
        <charset val="129"/>
      </rPr>
      <t>인성</t>
    </r>
    <r>
      <rPr>
        <sz val="10"/>
        <color theme="1"/>
        <rFont val="맑은 고딕"/>
        <family val="2"/>
        <scheme val="minor"/>
      </rPr>
      <t xml:space="preserve">) </t>
    </r>
    <r>
      <rPr>
        <sz val="10"/>
        <color theme="1"/>
        <rFont val="맑은 고딕"/>
        <family val="3"/>
        <charset val="129"/>
      </rPr>
      <t>표창</t>
    </r>
    <r>
      <rPr>
        <sz val="10"/>
        <color theme="1"/>
        <rFont val="맑은 고딕"/>
        <family val="2"/>
        <scheme val="minor"/>
      </rPr>
      <t xml:space="preserve"> (24.12.31.)
 </t>
    </r>
    <r>
      <rPr>
        <sz val="10"/>
        <color theme="1"/>
        <rFont val="맑은 고딕"/>
        <family val="3"/>
        <charset val="129"/>
      </rPr>
      <t>창의융합교육원</t>
    </r>
    <r>
      <rPr>
        <sz val="10"/>
        <color theme="1"/>
        <rFont val="맑은 고딕"/>
        <family val="2"/>
        <scheme val="minor"/>
      </rPr>
      <t xml:space="preserve"> </t>
    </r>
    <r>
      <rPr>
        <sz val="10"/>
        <color theme="1"/>
        <rFont val="맑은 고딕"/>
        <family val="3"/>
        <charset val="129"/>
      </rPr>
      <t>정보화연수강사</t>
    </r>
    <r>
      <rPr>
        <sz val="10"/>
        <color theme="1"/>
        <rFont val="맑은 고딕"/>
        <family val="2"/>
        <scheme val="minor"/>
      </rPr>
      <t xml:space="preserve"> (2021.~2024)</t>
    </r>
  </si>
  <si>
    <t>IB PYP 인증학교, 기초학교 근무
 개념기반탐구학습 관련 전문학습공동체 참여(2020-2023)</t>
  </si>
  <si>
    <t>신진희</t>
  </si>
  <si>
    <t>19970917</t>
  </si>
  <si>
    <t>한국생명과학고</t>
  </si>
  <si>
    <t>교원의 원격수업 도구 활용 및 수업 적용 전략/15시간/중앙교육연수원
중등SW-AI교육담당교원역량강화직무연수2기/12시간/경상북도교육청연수원
교원을 위한 디지털 리터러시 교육/15시간/중앙교육연수원
프로그래밍문항개발직무연수/15시간/경상북도교육청연수원
모두를 위한 인공지능 교육/15시간/중앙교육연수원
학생평가 도구 개발의 실제/15시간/중앙교육연수원
학생평가 교원 역량 강화/6시간/중앙교육연수원
학생집중력향상을위한전략/10시간/중앙교육연수원
기초학습부진학생지도의실제/15시간/중앙교육연수원
학생부 기재역량 제고를 위한 원격연수/13시간/중앙교육연수원</t>
    <phoneticPr fontId="12" type="noConversion"/>
  </si>
  <si>
    <t>경북 북부 SW-AI교육캠프운영</t>
  </si>
  <si>
    <t>안은경</t>
  </si>
  <si>
    <t>19760112</t>
  </si>
  <si>
    <t>전주온빛중학교</t>
  </si>
  <si>
    <t>1. 디지털선도학교 학교대표교사로 T.O.U.C.H.교사단으로 활동(2023~2024)
2. T.O.U.C.H.교사단 양성 지식샘터 연수 강사 활동
3. T.O.U.C.H.교사단 2기 양성 연수 참여(테크빌 교육)
4. 2024년 학교운영을 위한 에듀테크 작무연수 강사
5. 2024년 디지털 기반 교육혁신 선도학교 현장지원단 활동
6. 교실혁명 선도교사 양성 연수 강사 출강(네패스코코아팹, 한국정보교육학회)</t>
    <phoneticPr fontId="12" type="noConversion"/>
  </si>
  <si>
    <t>양석원</t>
  </si>
  <si>
    <t>19940505</t>
  </si>
  <si>
    <t>2024. 교육부 전국단위 수업평가 
교사연구회 회장(전남 IBDP 교사 연구회)</t>
  </si>
  <si>
    <t>양성용</t>
  </si>
  <si>
    <t>19760331</t>
  </si>
  <si>
    <t>군산대성중학교</t>
  </si>
  <si>
    <t>군산 스마트기기 지원단(2023~2024)</t>
    <phoneticPr fontId="12" type="noConversion"/>
  </si>
  <si>
    <t>정보 수업혁신-평가 연구회(2024)</t>
  </si>
  <si>
    <t>양채윤</t>
  </si>
  <si>
    <t>1991218</t>
  </si>
  <si>
    <t>사동고등학교</t>
  </si>
  <si>
    <t>2025 aidt활용수업역량강화직무연수 강사, 2025디지털원격연수 컨텐츠 제작</t>
    <phoneticPr fontId="12" type="noConversion"/>
  </si>
  <si>
    <t>c 텍스트 코딩 워크북, 파이썬 텍스트 코딩 워크북한국정보교사연합회 국장</t>
  </si>
  <si>
    <t>우은별</t>
  </si>
  <si>
    <t>19770228</t>
  </si>
  <si>
    <t>모서중학교</t>
  </si>
  <si>
    <t>2015-2019 김천중앙고교사(담임,수학)
2019-2020 상주교육지원청파견
2020-2021 상주여고 담임(수학)
2021-2023 경상북도교육청 상주수학체험센터 교사(센터프로그램운영)</t>
    <phoneticPr fontId="12" type="noConversion"/>
  </si>
  <si>
    <t>원지현</t>
  </si>
  <si>
    <t>대구동도초등학교</t>
  </si>
  <si>
    <r>
      <rPr>
        <sz val="10"/>
        <color theme="1"/>
        <rFont val="맑은 고딕"/>
        <family val="3"/>
        <charset val="129"/>
      </rPr>
      <t>대구교육청</t>
    </r>
    <r>
      <rPr>
        <sz val="10"/>
        <color theme="1"/>
        <rFont val="맑은 고딕"/>
        <family val="2"/>
        <scheme val="minor"/>
      </rPr>
      <t xml:space="preserve"> </t>
    </r>
    <r>
      <rPr>
        <sz val="10"/>
        <color theme="1"/>
        <rFont val="맑은 고딕"/>
        <family val="3"/>
        <charset val="129"/>
      </rPr>
      <t>각종</t>
    </r>
    <r>
      <rPr>
        <sz val="10"/>
        <color theme="1"/>
        <rFont val="맑은 고딕"/>
        <family val="2"/>
        <scheme val="minor"/>
      </rPr>
      <t xml:space="preserve"> </t>
    </r>
    <r>
      <rPr>
        <sz val="10"/>
        <color theme="1"/>
        <rFont val="맑은 고딕"/>
        <family val="3"/>
        <charset val="129"/>
      </rPr>
      <t>지원단</t>
    </r>
    <r>
      <rPr>
        <sz val="10"/>
        <color theme="1"/>
        <rFont val="맑은 고딕"/>
        <family val="2"/>
        <scheme val="minor"/>
      </rPr>
      <t xml:space="preserve"> </t>
    </r>
    <r>
      <rPr>
        <sz val="10"/>
        <color theme="1"/>
        <rFont val="맑은 고딕"/>
        <family val="3"/>
        <charset val="129"/>
      </rPr>
      <t>및</t>
    </r>
    <r>
      <rPr>
        <sz val="10"/>
        <color theme="1"/>
        <rFont val="맑은 고딕"/>
        <family val="2"/>
        <scheme val="minor"/>
      </rPr>
      <t xml:space="preserve"> </t>
    </r>
    <r>
      <rPr>
        <sz val="10"/>
        <color theme="1"/>
        <rFont val="맑은 고딕"/>
        <family val="3"/>
        <charset val="129"/>
      </rPr>
      <t xml:space="preserve">강사
</t>
    </r>
    <r>
      <rPr>
        <sz val="10"/>
        <color theme="1"/>
        <rFont val="맑은 고딕"/>
        <family val="2"/>
        <scheme val="minor"/>
      </rPr>
      <t xml:space="preserve">1) 2023-2024 </t>
    </r>
    <r>
      <rPr>
        <sz val="10"/>
        <color theme="1"/>
        <rFont val="맑은 고딕"/>
        <family val="3"/>
        <charset val="129"/>
      </rPr>
      <t>인공지능</t>
    </r>
    <r>
      <rPr>
        <sz val="10"/>
        <color theme="1"/>
        <rFont val="맑은 고딕"/>
        <family val="2"/>
        <scheme val="minor"/>
      </rPr>
      <t xml:space="preserve"> </t>
    </r>
    <r>
      <rPr>
        <sz val="10"/>
        <color theme="1"/>
        <rFont val="맑은 고딕"/>
        <family val="3"/>
        <charset val="129"/>
      </rPr>
      <t>활용</t>
    </r>
    <r>
      <rPr>
        <sz val="10"/>
        <color theme="1"/>
        <rFont val="맑은 고딕"/>
        <family val="2"/>
        <scheme val="minor"/>
      </rPr>
      <t xml:space="preserve"> </t>
    </r>
    <r>
      <rPr>
        <sz val="10"/>
        <color theme="1"/>
        <rFont val="맑은 고딕"/>
        <family val="3"/>
        <charset val="129"/>
      </rPr>
      <t>수학교육지원단</t>
    </r>
    <r>
      <rPr>
        <sz val="10"/>
        <color theme="1"/>
        <rFont val="맑은 고딕"/>
        <family val="2"/>
        <scheme val="minor"/>
      </rPr>
      <t xml:space="preserve">, </t>
    </r>
    <r>
      <rPr>
        <sz val="10"/>
        <color theme="1"/>
        <rFont val="맑은 고딕"/>
        <family val="3"/>
        <charset val="129"/>
      </rPr>
      <t>동부수학자신감</t>
    </r>
    <r>
      <rPr>
        <sz val="10"/>
        <color theme="1"/>
        <rFont val="맑은 고딕"/>
        <family val="2"/>
        <scheme val="minor"/>
      </rPr>
      <t xml:space="preserve"> </t>
    </r>
    <r>
      <rPr>
        <sz val="10"/>
        <color theme="1"/>
        <rFont val="맑은 고딕"/>
        <family val="3"/>
        <charset val="129"/>
      </rPr>
      <t>향상</t>
    </r>
    <r>
      <rPr>
        <sz val="10"/>
        <color theme="1"/>
        <rFont val="맑은 고딕"/>
        <family val="2"/>
        <scheme val="minor"/>
      </rPr>
      <t xml:space="preserve"> </t>
    </r>
    <r>
      <rPr>
        <sz val="10"/>
        <color theme="1"/>
        <rFont val="맑은 고딕"/>
        <family val="3"/>
        <charset val="129"/>
      </rPr>
      <t>프로그램</t>
    </r>
    <r>
      <rPr>
        <sz val="10"/>
        <color theme="1"/>
        <rFont val="맑은 고딕"/>
        <family val="2"/>
        <scheme val="minor"/>
      </rPr>
      <t xml:space="preserve"> </t>
    </r>
    <r>
      <rPr>
        <sz val="10"/>
        <color theme="1"/>
        <rFont val="맑은 고딕"/>
        <family val="3"/>
        <charset val="129"/>
      </rPr>
      <t>지원단</t>
    </r>
    <r>
      <rPr>
        <sz val="10"/>
        <color theme="1"/>
        <rFont val="맑은 고딕"/>
        <family val="2"/>
        <scheme val="minor"/>
      </rPr>
      <t xml:space="preserve"> </t>
    </r>
    <r>
      <rPr>
        <sz val="10"/>
        <color theme="1"/>
        <rFont val="맑은 고딕"/>
        <family val="3"/>
        <charset val="129"/>
      </rPr>
      <t>및</t>
    </r>
    <r>
      <rPr>
        <sz val="10"/>
        <color theme="1"/>
        <rFont val="맑은 고딕"/>
        <family val="2"/>
        <scheme val="minor"/>
      </rPr>
      <t xml:space="preserve"> </t>
    </r>
    <r>
      <rPr>
        <sz val="10"/>
        <color theme="1"/>
        <rFont val="맑은 고딕"/>
        <family val="3"/>
        <charset val="129"/>
      </rPr>
      <t>연구회</t>
    </r>
    <r>
      <rPr>
        <sz val="10"/>
        <color theme="1"/>
        <rFont val="맑은 고딕"/>
        <family val="2"/>
        <scheme val="minor"/>
      </rPr>
      <t xml:space="preserve">, </t>
    </r>
    <r>
      <rPr>
        <sz val="10"/>
        <color theme="1"/>
        <rFont val="맑은 고딕"/>
        <family val="3"/>
        <charset val="129"/>
      </rPr>
      <t>학교로</t>
    </r>
    <r>
      <rPr>
        <sz val="10"/>
        <color theme="1"/>
        <rFont val="맑은 고딕"/>
        <family val="2"/>
        <scheme val="minor"/>
      </rPr>
      <t xml:space="preserve"> </t>
    </r>
    <r>
      <rPr>
        <sz val="10"/>
        <color theme="1"/>
        <rFont val="맑은 고딕"/>
        <family val="3"/>
        <charset val="129"/>
      </rPr>
      <t>찾아가는</t>
    </r>
    <r>
      <rPr>
        <sz val="10"/>
        <color theme="1"/>
        <rFont val="맑은 고딕"/>
        <family val="2"/>
        <scheme val="minor"/>
      </rPr>
      <t xml:space="preserve"> </t>
    </r>
    <r>
      <rPr>
        <sz val="10"/>
        <color theme="1"/>
        <rFont val="맑은 고딕"/>
        <family val="3"/>
        <charset val="129"/>
      </rPr>
      <t>수학점핑학교</t>
    </r>
    <r>
      <rPr>
        <sz val="10"/>
        <color theme="1"/>
        <rFont val="맑은 고딕"/>
        <family val="2"/>
        <scheme val="minor"/>
      </rPr>
      <t xml:space="preserve"> </t>
    </r>
    <r>
      <rPr>
        <sz val="10"/>
        <color theme="1"/>
        <rFont val="맑은 고딕"/>
        <family val="3"/>
        <charset val="129"/>
      </rPr>
      <t>컨설팅</t>
    </r>
    <r>
      <rPr>
        <sz val="10"/>
        <color theme="1"/>
        <rFont val="맑은 고딕"/>
        <family val="2"/>
        <scheme val="minor"/>
      </rPr>
      <t xml:space="preserve"> </t>
    </r>
    <r>
      <rPr>
        <sz val="10"/>
        <color theme="1"/>
        <rFont val="맑은 고딕"/>
        <family val="3"/>
        <charset val="129"/>
      </rPr>
      <t>및</t>
    </r>
    <r>
      <rPr>
        <sz val="10"/>
        <color theme="1"/>
        <rFont val="맑은 고딕"/>
        <family val="2"/>
        <scheme val="minor"/>
      </rPr>
      <t xml:space="preserve"> </t>
    </r>
    <r>
      <rPr>
        <sz val="10"/>
        <color theme="1"/>
        <rFont val="맑은 고딕"/>
        <family val="3"/>
        <charset val="129"/>
      </rPr>
      <t>연수</t>
    </r>
    <r>
      <rPr>
        <sz val="10"/>
        <color theme="1"/>
        <rFont val="맑은 고딕"/>
        <family val="2"/>
        <scheme val="minor"/>
      </rPr>
      <t xml:space="preserve"> (8</t>
    </r>
    <r>
      <rPr>
        <sz val="10"/>
        <color theme="1"/>
        <rFont val="맑은 고딕"/>
        <family val="3"/>
        <charset val="129"/>
      </rPr>
      <t>회</t>
    </r>
    <r>
      <rPr>
        <sz val="10"/>
        <color theme="1"/>
        <rFont val="맑은 고딕"/>
        <family val="2"/>
        <scheme val="minor"/>
      </rPr>
      <t xml:space="preserve">)
2) 2023 </t>
    </r>
    <r>
      <rPr>
        <sz val="10"/>
        <color theme="1"/>
        <rFont val="맑은 고딕"/>
        <family val="3"/>
        <charset val="129"/>
      </rPr>
      <t>대구창의융합교육원</t>
    </r>
    <r>
      <rPr>
        <sz val="10"/>
        <color theme="1"/>
        <rFont val="맑은 고딕"/>
        <family val="2"/>
        <scheme val="minor"/>
      </rPr>
      <t xml:space="preserve"> </t>
    </r>
    <r>
      <rPr>
        <sz val="10"/>
        <color theme="1"/>
        <rFont val="맑은 고딕"/>
        <family val="3"/>
        <charset val="129"/>
      </rPr>
      <t>창의융합지원단</t>
    </r>
    <r>
      <rPr>
        <sz val="10"/>
        <color theme="1"/>
        <rFont val="맑은 고딕"/>
        <family val="2"/>
        <scheme val="minor"/>
      </rPr>
      <t xml:space="preserve">, </t>
    </r>
    <r>
      <rPr>
        <sz val="10"/>
        <color theme="1"/>
        <rFont val="맑은 고딕"/>
        <family val="3"/>
        <charset val="129"/>
      </rPr>
      <t>활동탐구중심</t>
    </r>
    <r>
      <rPr>
        <sz val="10"/>
        <color theme="1"/>
        <rFont val="맑은 고딕"/>
        <family val="2"/>
        <scheme val="minor"/>
      </rPr>
      <t xml:space="preserve"> </t>
    </r>
    <r>
      <rPr>
        <sz val="10"/>
        <color theme="1"/>
        <rFont val="맑은 고딕"/>
        <family val="3"/>
        <charset val="129"/>
      </rPr>
      <t>수학</t>
    </r>
    <r>
      <rPr>
        <sz val="10"/>
        <color theme="1"/>
        <rFont val="맑은 고딕"/>
        <family val="2"/>
        <scheme val="minor"/>
      </rPr>
      <t xml:space="preserve"> </t>
    </r>
    <r>
      <rPr>
        <sz val="10"/>
        <color theme="1"/>
        <rFont val="맑은 고딕"/>
        <family val="3"/>
        <charset val="129"/>
      </rPr>
      <t>동아리</t>
    </r>
    <r>
      <rPr>
        <sz val="10"/>
        <color theme="1"/>
        <rFont val="맑은 고딕"/>
        <family val="2"/>
        <scheme val="minor"/>
      </rPr>
      <t xml:space="preserve"> </t>
    </r>
    <r>
      <rPr>
        <sz val="10"/>
        <color theme="1"/>
        <rFont val="맑은 고딕"/>
        <family val="3"/>
        <charset val="129"/>
      </rPr>
      <t>운영</t>
    </r>
    <r>
      <rPr>
        <sz val="10"/>
        <color theme="1"/>
        <rFont val="맑은 고딕"/>
        <family val="2"/>
        <scheme val="minor"/>
      </rPr>
      <t xml:space="preserve">, </t>
    </r>
    <r>
      <rPr>
        <sz val="10"/>
        <color theme="1"/>
        <rFont val="맑은 고딕"/>
        <family val="3"/>
        <charset val="129"/>
      </rPr>
      <t>대구수학페스티벌</t>
    </r>
    <r>
      <rPr>
        <sz val="10"/>
        <color theme="1"/>
        <rFont val="맑은 고딕"/>
        <family val="2"/>
        <scheme val="minor"/>
      </rPr>
      <t xml:space="preserve"> </t>
    </r>
    <r>
      <rPr>
        <sz val="10"/>
        <color theme="1"/>
        <rFont val="맑은 고딕"/>
        <family val="3"/>
        <charset val="129"/>
      </rPr>
      <t>수학</t>
    </r>
    <r>
      <rPr>
        <sz val="10"/>
        <color theme="1"/>
        <rFont val="맑은 고딕"/>
        <family val="2"/>
        <scheme val="minor"/>
      </rPr>
      <t xml:space="preserve"> </t>
    </r>
    <r>
      <rPr>
        <sz val="10"/>
        <color theme="1"/>
        <rFont val="맑은 고딕"/>
        <family val="3"/>
        <charset val="129"/>
      </rPr>
      <t>학습코칭</t>
    </r>
    <r>
      <rPr>
        <sz val="10"/>
        <color theme="1"/>
        <rFont val="맑은 고딕"/>
        <family val="2"/>
        <scheme val="minor"/>
      </rPr>
      <t xml:space="preserve">, </t>
    </r>
    <r>
      <rPr>
        <sz val="10"/>
        <color theme="1"/>
        <rFont val="맑은 고딕"/>
        <family val="3"/>
        <charset val="129"/>
      </rPr>
      <t>동부</t>
    </r>
    <r>
      <rPr>
        <sz val="10"/>
        <color theme="1"/>
        <rFont val="맑은 고딕"/>
        <family val="2"/>
        <scheme val="minor"/>
      </rPr>
      <t xml:space="preserve"> </t>
    </r>
    <r>
      <rPr>
        <sz val="10"/>
        <color theme="1"/>
        <rFont val="맑은 고딕"/>
        <family val="3"/>
        <charset val="129"/>
      </rPr>
      <t>수학자신감</t>
    </r>
    <r>
      <rPr>
        <sz val="10"/>
        <color theme="1"/>
        <rFont val="맑은 고딕"/>
        <family val="2"/>
        <scheme val="minor"/>
      </rPr>
      <t xml:space="preserve"> </t>
    </r>
    <r>
      <rPr>
        <sz val="10"/>
        <color theme="1"/>
        <rFont val="맑은 고딕"/>
        <family val="3"/>
        <charset val="129"/>
      </rPr>
      <t>향상의</t>
    </r>
    <r>
      <rPr>
        <sz val="10"/>
        <color theme="1"/>
        <rFont val="맑은 고딕"/>
        <family val="2"/>
        <scheme val="minor"/>
      </rPr>
      <t xml:space="preserve"> </t>
    </r>
    <r>
      <rPr>
        <sz val="10"/>
        <color theme="1"/>
        <rFont val="맑은 고딕"/>
        <family val="3"/>
        <charset val="129"/>
      </rPr>
      <t>날</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 xml:space="preserve">, </t>
    </r>
    <r>
      <rPr>
        <sz val="10"/>
        <color theme="1"/>
        <rFont val="맑은 고딕"/>
        <family val="3"/>
        <charset val="129"/>
      </rPr>
      <t>수학</t>
    </r>
    <r>
      <rPr>
        <sz val="10"/>
        <color theme="1"/>
        <rFont val="맑은 고딕"/>
        <family val="2"/>
        <scheme val="minor"/>
      </rPr>
      <t xml:space="preserve"> </t>
    </r>
    <r>
      <rPr>
        <sz val="10"/>
        <color theme="1"/>
        <rFont val="맑은 고딕"/>
        <family val="3"/>
        <charset val="129"/>
      </rPr>
      <t>가족</t>
    </r>
    <r>
      <rPr>
        <sz val="10"/>
        <color theme="1"/>
        <rFont val="맑은 고딕"/>
        <family val="2"/>
        <scheme val="minor"/>
      </rPr>
      <t xml:space="preserve"> </t>
    </r>
    <r>
      <rPr>
        <sz val="10"/>
        <color theme="1"/>
        <rFont val="맑은 고딕"/>
        <family val="3"/>
        <charset val="129"/>
      </rPr>
      <t>체험교실</t>
    </r>
    <r>
      <rPr>
        <sz val="10"/>
        <color theme="1"/>
        <rFont val="맑은 고딕"/>
        <family val="2"/>
        <scheme val="minor"/>
      </rPr>
      <t>(1,2</t>
    </r>
    <r>
      <rPr>
        <sz val="10"/>
        <color theme="1"/>
        <rFont val="맑은 고딕"/>
        <family val="3"/>
        <charset val="129"/>
      </rPr>
      <t>기</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 xml:space="preserve">, </t>
    </r>
    <r>
      <rPr>
        <sz val="10"/>
        <color theme="1"/>
        <rFont val="맑은 고딕"/>
        <family val="3"/>
        <charset val="129"/>
      </rPr>
      <t>나도수학자</t>
    </r>
    <r>
      <rPr>
        <sz val="10"/>
        <color theme="1"/>
        <rFont val="맑은 고딕"/>
        <family val="2"/>
        <scheme val="minor"/>
      </rPr>
      <t>(7,8</t>
    </r>
    <r>
      <rPr>
        <sz val="10"/>
        <color theme="1"/>
        <rFont val="맑은 고딕"/>
        <family val="3"/>
        <charset val="129"/>
      </rPr>
      <t>기</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 xml:space="preserve">, </t>
    </r>
    <r>
      <rPr>
        <sz val="10"/>
        <color theme="1"/>
        <rFont val="맑은 고딕"/>
        <family val="3"/>
        <charset val="129"/>
      </rPr>
      <t>수학체험센터</t>
    </r>
    <r>
      <rPr>
        <sz val="10"/>
        <color theme="1"/>
        <rFont val="맑은 고딕"/>
        <family val="2"/>
        <scheme val="minor"/>
      </rPr>
      <t xml:space="preserve"> </t>
    </r>
    <r>
      <rPr>
        <sz val="10"/>
        <color theme="1"/>
        <rFont val="맑은 고딕"/>
        <family val="3"/>
        <charset val="129"/>
      </rPr>
      <t>해설</t>
    </r>
  </si>
  <si>
    <t>유미</t>
  </si>
  <si>
    <t>1978.10.12</t>
  </si>
  <si>
    <t>남성중학교</t>
  </si>
  <si>
    <t>교육부 장관상 정보교육상 수상('23.12)</t>
  </si>
  <si>
    <t>교사가 이끄는 교실혁명 : AI 디지털교과서 100% 활용하기 (중등편)(2024)전국 단위 수업평가 연구회</t>
  </si>
  <si>
    <t>유재은</t>
  </si>
  <si>
    <t>19820702</t>
    <phoneticPr fontId="2" type="noConversion"/>
  </si>
  <si>
    <t>고양동산고등학교</t>
  </si>
  <si>
    <t>상담심리교육</t>
  </si>
  <si>
    <t>(교육과정지원)경기도 교육감 표창 수상(22.12.31), (교무학사지원)경기도교육감 표창(23.12.31.), (IB교육지원)경기도교육감(2024.12.31.)</t>
  </si>
  <si>
    <t>경기도 IB 핵심과정 자료집(2024), 경기도 깊이있는 수업 설계 도움자료집(2024)경기도IB교욱연구회(IB수업및평가), 고양시교육과정교육연구회(교육과정 설계 및 분석)</t>
  </si>
  <si>
    <t>유화진</t>
  </si>
  <si>
    <r>
      <t xml:space="preserve">2024. </t>
    </r>
    <r>
      <rPr>
        <sz val="10"/>
        <color theme="1"/>
        <rFont val="맑은 고딕"/>
        <family val="3"/>
        <charset val="129"/>
      </rPr>
      <t>중등</t>
    </r>
    <r>
      <rPr>
        <sz val="10"/>
        <color theme="1"/>
        <rFont val="맑은 고딕"/>
        <family val="2"/>
        <scheme val="minor"/>
      </rPr>
      <t xml:space="preserve"> </t>
    </r>
    <r>
      <rPr>
        <sz val="10"/>
        <color theme="1"/>
        <rFont val="맑은 고딕"/>
        <family val="3"/>
        <charset val="129"/>
      </rPr>
      <t>수학</t>
    </r>
    <r>
      <rPr>
        <sz val="10"/>
        <color theme="1"/>
        <rFont val="맑은 고딕"/>
        <family val="2"/>
        <scheme val="minor"/>
      </rPr>
      <t xml:space="preserve"> </t>
    </r>
    <r>
      <rPr>
        <sz val="10"/>
        <color theme="1"/>
        <rFont val="맑은 고딕"/>
        <family val="3"/>
        <charset val="129"/>
      </rPr>
      <t>디지털</t>
    </r>
    <r>
      <rPr>
        <sz val="10"/>
        <color theme="1"/>
        <rFont val="맑은 고딕"/>
        <family val="2"/>
        <scheme val="minor"/>
      </rPr>
      <t xml:space="preserve"> </t>
    </r>
    <r>
      <rPr>
        <sz val="10"/>
        <color theme="1"/>
        <rFont val="맑은 고딕"/>
        <family val="3"/>
        <charset val="129"/>
      </rPr>
      <t>활용</t>
    </r>
    <r>
      <rPr>
        <sz val="10"/>
        <color theme="1"/>
        <rFont val="맑은 고딕"/>
        <family val="2"/>
        <scheme val="minor"/>
      </rPr>
      <t xml:space="preserve"> </t>
    </r>
    <r>
      <rPr>
        <sz val="10"/>
        <color theme="1"/>
        <rFont val="맑은 고딕"/>
        <family val="3"/>
        <charset val="129"/>
      </rPr>
      <t>수업설계</t>
    </r>
    <r>
      <rPr>
        <sz val="10"/>
        <color theme="1"/>
        <rFont val="맑은 고딕"/>
        <family val="2"/>
        <scheme val="minor"/>
      </rPr>
      <t xml:space="preserve"> </t>
    </r>
    <r>
      <rPr>
        <sz val="10"/>
        <color theme="1"/>
        <rFont val="맑은 고딕"/>
        <family val="3"/>
        <charset val="129"/>
      </rPr>
      <t>역량</t>
    </r>
    <r>
      <rPr>
        <sz val="10"/>
        <color theme="1"/>
        <rFont val="맑은 고딕"/>
        <family val="2"/>
        <scheme val="minor"/>
      </rPr>
      <t xml:space="preserve"> </t>
    </r>
    <r>
      <rPr>
        <sz val="10"/>
        <color theme="1"/>
        <rFont val="맑은 고딕"/>
        <family val="3"/>
        <charset val="129"/>
      </rPr>
      <t>강화</t>
    </r>
    <r>
      <rPr>
        <sz val="10"/>
        <color theme="1"/>
        <rFont val="맑은 고딕"/>
        <family val="2"/>
        <scheme val="minor"/>
      </rPr>
      <t xml:space="preserve"> </t>
    </r>
    <r>
      <rPr>
        <sz val="10"/>
        <color theme="1"/>
        <rFont val="맑은 고딕"/>
        <family val="3"/>
        <charset val="129"/>
      </rPr>
      <t>연수</t>
    </r>
    <r>
      <rPr>
        <sz val="10"/>
        <color theme="1"/>
        <rFont val="맑은 고딕"/>
        <family val="2"/>
        <scheme val="minor"/>
      </rPr>
      <t xml:space="preserve"> </t>
    </r>
    <r>
      <rPr>
        <sz val="10"/>
        <color theme="1"/>
        <rFont val="맑은 고딕"/>
        <family val="3"/>
        <charset val="129"/>
      </rPr>
      <t>출강</t>
    </r>
  </si>
  <si>
    <t>한국통계교육진흥원 통계교수학습 자료개발 연구회, 중등 MES 블렌디드 연구회 운영</t>
  </si>
  <si>
    <t>이서영</t>
  </si>
  <si>
    <t>19820423</t>
  </si>
  <si>
    <t>전남외고</t>
  </si>
  <si>
    <t>전남 영어교육 컨설팅단</t>
    <phoneticPr fontId="12" type="noConversion"/>
  </si>
  <si>
    <t>전국 수업 평가 연구회 -전남 IB 연구회</t>
  </si>
  <si>
    <t>이성경</t>
  </si>
  <si>
    <t>갈곶초등학교</t>
  </si>
  <si>
    <t>16년</t>
    <phoneticPr fontId="12" type="noConversion"/>
  </si>
  <si>
    <t>2022 개정교육과정 초3-4 국정교과서 현장적합성 검토 ('24)학교 전문적 학습공동체-수업에 디지털교육 적용</t>
  </si>
  <si>
    <t>이소민</t>
  </si>
  <si>
    <t>경산여자중학교</t>
  </si>
  <si>
    <r>
      <rPr>
        <sz val="10"/>
        <color theme="1"/>
        <rFont val="맑은 고딕"/>
        <family val="3"/>
        <charset val="129"/>
      </rPr>
      <t>교실혁명</t>
    </r>
    <r>
      <rPr>
        <sz val="10"/>
        <color theme="1"/>
        <rFont val="맑은 고딕"/>
        <family val="2"/>
        <scheme val="minor"/>
      </rPr>
      <t xml:space="preserve"> </t>
    </r>
    <r>
      <rPr>
        <sz val="10"/>
        <color theme="1"/>
        <rFont val="맑은 고딕"/>
        <family val="3"/>
        <charset val="129"/>
      </rPr>
      <t>선도교사
미래교육역량강화</t>
    </r>
    <r>
      <rPr>
        <sz val="10"/>
        <color theme="1"/>
        <rFont val="맑은 고딕"/>
        <family val="2"/>
        <scheme val="minor"/>
      </rPr>
      <t>(</t>
    </r>
    <r>
      <rPr>
        <sz val="10"/>
        <color theme="1"/>
        <rFont val="맑은 고딕"/>
        <family val="3"/>
        <charset val="129"/>
      </rPr>
      <t>미술</t>
    </r>
    <r>
      <rPr>
        <sz val="10"/>
        <color theme="1"/>
        <rFont val="맑은 고딕"/>
        <family val="2"/>
        <scheme val="minor"/>
      </rPr>
      <t>)</t>
    </r>
    <r>
      <rPr>
        <sz val="10"/>
        <color theme="1"/>
        <rFont val="맑은 고딕"/>
        <family val="3"/>
        <charset val="129"/>
      </rPr>
      <t>직무연수
숨은고수</t>
    </r>
    <r>
      <rPr>
        <sz val="10"/>
        <color theme="1"/>
        <rFont val="맑은 고딕"/>
        <family val="2"/>
        <scheme val="minor"/>
      </rPr>
      <t xml:space="preserve"> VR</t>
    </r>
    <r>
      <rPr>
        <sz val="10"/>
        <color theme="1"/>
        <rFont val="맑은 고딕"/>
        <family val="3"/>
        <charset val="129"/>
      </rPr>
      <t>활용</t>
    </r>
    <r>
      <rPr>
        <sz val="10"/>
        <color theme="1"/>
        <rFont val="맑은 고딕"/>
        <family val="2"/>
        <scheme val="minor"/>
      </rPr>
      <t xml:space="preserve">, </t>
    </r>
    <r>
      <rPr>
        <sz val="10"/>
        <color theme="1"/>
        <rFont val="맑은 고딕"/>
        <family val="3"/>
        <charset val="129"/>
      </rPr>
      <t>미래</t>
    </r>
    <r>
      <rPr>
        <sz val="10"/>
        <color theme="1"/>
        <rFont val="맑은 고딕"/>
        <family val="2"/>
        <scheme val="minor"/>
      </rPr>
      <t xml:space="preserve"> </t>
    </r>
    <r>
      <rPr>
        <sz val="10"/>
        <color theme="1"/>
        <rFont val="맑은 고딕"/>
        <family val="3"/>
        <charset val="129"/>
      </rPr>
      <t>교육체험</t>
    </r>
    <r>
      <rPr>
        <sz val="10"/>
        <color theme="1"/>
        <rFont val="맑은 고딕"/>
        <family val="2"/>
        <scheme val="minor"/>
      </rPr>
      <t xml:space="preserve"> </t>
    </r>
    <r>
      <rPr>
        <sz val="10"/>
        <color theme="1"/>
        <rFont val="맑은 고딕"/>
        <family val="3"/>
        <charset val="129"/>
      </rPr>
      <t>직무연수</t>
    </r>
  </si>
  <si>
    <t>2023 대구교육연수원 유튜브 채널 우수콘텐츠</t>
  </si>
  <si>
    <t>이수민</t>
  </si>
  <si>
    <t>19731006</t>
  </si>
  <si>
    <t>매전중학교</t>
  </si>
  <si>
    <t>스승의날 장관 표창수상('24.05.15.)</t>
  </si>
  <si>
    <t>19870811</t>
  </si>
  <si>
    <t>삼광중학교</t>
  </si>
  <si>
    <t>혁신교육전공</t>
  </si>
  <si>
    <t>찾아가는 학교 연수 교원의 교실혁명 역량 이해 (4기)/4시간/한국과학창의재단 종합교육연수원
찾아가는 학교 연수 학교 교육에 디지털기반 교육 혁신 반영 (4기) - /2시간/한국과학창의재단 종합교육연수원
찾아가는 학교 연수 학교 교육과정 평가-환류(5기) /4시간/한국과학창의재단 종합교육연수원
2024. IB DP 프로그램 수업 평가 전문가 양성 실전과정 직무연수/10시간/재단법인대구행복한미래재단
과정중심평가에기반한학생평가컨설팅(중등국어)/5시간/중앙교육연수원
학생평가도구개발의실제/15시간/중앙교육연수원
도교육청현장맞춤형)2024.IBDP교원수업역량강화직무연수/13시간/전라남도교육청교육연수원</t>
    <phoneticPr fontId="12" type="noConversion"/>
  </si>
  <si>
    <t>전남IB교육연구회</t>
  </si>
  <si>
    <t>이은선</t>
  </si>
  <si>
    <t>19810130</t>
  </si>
  <si>
    <t>인천만수고</t>
  </si>
  <si>
    <t>수학</t>
  </si>
  <si>
    <t>21년 고교학점제,자율적교육과정,교육과정편성,꿈두레공동교육과정운영
23년 2022개정교육과정강의(동인천고)
24년 IB컨설팅강의(하늘고)
24년 IB와 2022개정교육과정강의(인하사대부고)</t>
    <phoneticPr fontId="12" type="noConversion"/>
  </si>
  <si>
    <t>핵심만 딱!배우는 AI코스웨어(중등)-티처빌
2024인천IB프로그램기초심화연수-인천광역시교육청
완벽한혁신을위한 교육과정,수업,평가,기록의 일체화
-아이스크림 원격교육연수원
2022년 고교학점제 기반조성을위한 진로 및 학업설계 역량강화
-인천광역시교육청</t>
  </si>
  <si>
    <t>이응석</t>
  </si>
  <si>
    <t>19840204</t>
  </si>
  <si>
    <t>봉성초등학교</t>
  </si>
  <si>
    <t>2024 제18회 디지털교육연구대회 전국2등급
2024 교육방송연구대회 전국2등급</t>
    <phoneticPr fontId="12" type="noConversion"/>
  </si>
  <si>
    <t>2022 개정 교육과정에 따른 초등학교1~2학년 수학교과용 도서연구·집필진경북초등정보교육교과연구회
 2021~2024 수학교육 교사 연구회(2021~2023) 회장</t>
  </si>
  <si>
    <t>이재우</t>
  </si>
  <si>
    <t>대구동변초등학교</t>
  </si>
  <si>
    <t>윤리인성</t>
  </si>
  <si>
    <r>
      <rPr>
        <sz val="10"/>
        <color theme="1"/>
        <rFont val="맑은 고딕"/>
        <family val="3"/>
        <charset val="129"/>
      </rPr>
      <t>교육부장관</t>
    </r>
    <r>
      <rPr>
        <sz val="10"/>
        <color theme="1"/>
        <rFont val="맑은 고딕"/>
        <family val="2"/>
        <scheme val="minor"/>
      </rPr>
      <t>(</t>
    </r>
    <r>
      <rPr>
        <sz val="10"/>
        <color theme="1"/>
        <rFont val="맑은 고딕"/>
        <family val="3"/>
        <charset val="129"/>
      </rPr>
      <t>교육과정</t>
    </r>
    <r>
      <rPr>
        <sz val="10"/>
        <color theme="1"/>
        <rFont val="맑은 고딕"/>
        <family val="2"/>
        <scheme val="minor"/>
      </rPr>
      <t xml:space="preserve">)
 </t>
    </r>
    <r>
      <rPr>
        <sz val="10"/>
        <color theme="1"/>
        <rFont val="맑은 고딕"/>
        <family val="3"/>
        <charset val="129"/>
      </rPr>
      <t>표창</t>
    </r>
    <r>
      <rPr>
        <sz val="10"/>
        <color theme="1"/>
        <rFont val="맑은 고딕"/>
        <family val="2"/>
        <scheme val="minor"/>
      </rPr>
      <t xml:space="preserve">(2023)
 </t>
    </r>
    <r>
      <rPr>
        <sz val="10"/>
        <color theme="1"/>
        <rFont val="맑은 고딕"/>
        <family val="3"/>
        <charset val="129"/>
      </rPr>
      <t>교수평기</t>
    </r>
    <r>
      <rPr>
        <sz val="10"/>
        <color theme="1"/>
        <rFont val="맑은 고딕"/>
        <family val="2"/>
        <scheme val="minor"/>
      </rPr>
      <t xml:space="preserve">, </t>
    </r>
    <r>
      <rPr>
        <sz val="10"/>
        <color theme="1"/>
        <rFont val="맑은 고딕"/>
        <family val="3"/>
        <charset val="129"/>
      </rPr>
      <t>교육과정</t>
    </r>
    <r>
      <rPr>
        <sz val="10"/>
        <color theme="1"/>
        <rFont val="맑은 고딕"/>
        <family val="2"/>
        <scheme val="minor"/>
      </rPr>
      <t xml:space="preserve">, </t>
    </r>
    <r>
      <rPr>
        <sz val="10"/>
        <color theme="1"/>
        <rFont val="맑은 고딕"/>
        <family val="3"/>
        <charset val="129"/>
      </rPr>
      <t>학교자율시간</t>
    </r>
    <r>
      <rPr>
        <sz val="10"/>
        <color theme="1"/>
        <rFont val="맑은 고딕"/>
        <family val="2"/>
        <scheme val="minor"/>
      </rPr>
      <t xml:space="preserve"> </t>
    </r>
    <r>
      <rPr>
        <sz val="10"/>
        <color theme="1"/>
        <rFont val="맑은 고딕"/>
        <family val="3"/>
        <charset val="129"/>
      </rPr>
      <t>강사</t>
    </r>
    <r>
      <rPr>
        <sz val="10"/>
        <color theme="1"/>
        <rFont val="맑은 고딕"/>
        <family val="2"/>
        <scheme val="minor"/>
      </rPr>
      <t xml:space="preserve"> </t>
    </r>
    <r>
      <rPr>
        <sz val="10"/>
        <color theme="1"/>
        <rFont val="맑은 고딕"/>
        <family val="3"/>
        <charset val="129"/>
      </rPr>
      <t>및</t>
    </r>
    <r>
      <rPr>
        <sz val="10"/>
        <color theme="1"/>
        <rFont val="맑은 고딕"/>
        <family val="2"/>
        <scheme val="minor"/>
      </rPr>
      <t xml:space="preserve"> </t>
    </r>
    <r>
      <rPr>
        <sz val="10"/>
        <color theme="1"/>
        <rFont val="맑은 고딕"/>
        <family val="3"/>
        <charset val="129"/>
      </rPr>
      <t xml:space="preserve">지원단
</t>
    </r>
    <r>
      <rPr>
        <sz val="10"/>
        <color theme="1"/>
        <rFont val="맑은 고딕"/>
        <family val="2"/>
        <scheme val="minor"/>
      </rPr>
      <t xml:space="preserve"> (2021.~2024)</t>
    </r>
  </si>
  <si>
    <t>함께사는 세계시민 교재 및 지도서 집필
 2022 개정교육과정 및 학교자율시간 톹아보기, 사례집 집필개념기반탐구학습 관련 교사 전문학습공동체 참여(2022-2024)
 학교자율시간 교사 전문학습공동체 참여(2022~현재)</t>
  </si>
  <si>
    <t>이재호</t>
  </si>
  <si>
    <t>경북대학교사범대학부설고등학교</t>
  </si>
  <si>
    <t>교육부 장관상 수상('23)</t>
    <phoneticPr fontId="12" type="noConversion"/>
  </si>
  <si>
    <t>대구교육청 IB DP 연구회
 대구교육청 수업-평가지원단</t>
  </si>
  <si>
    <t>이재훈</t>
  </si>
  <si>
    <t>19950701</t>
  </si>
  <si>
    <t>장천초등학교</t>
  </si>
  <si>
    <t>교육감상 수상('23.12.29)</t>
    <phoneticPr fontId="12" type="noConversion"/>
  </si>
  <si>
    <t>이정우</t>
  </si>
  <si>
    <t>1990.08.27</t>
  </si>
  <si>
    <t>한일고등학교</t>
  </si>
  <si>
    <t>영어</t>
  </si>
  <si>
    <t>디지털기반 교육혁신연수
온라인콘텐츠 및 에듀테크를 활용한 수업
디지털 기기를 활용한 IB수업</t>
    <phoneticPr fontId="12" type="noConversion"/>
  </si>
  <si>
    <t>이지은</t>
  </si>
  <si>
    <t>19810226</t>
  </si>
  <si>
    <t>신광중학교</t>
  </si>
  <si>
    <t>교육부 장관상 수상(2024.12.27)</t>
    <phoneticPr fontId="12" type="noConversion"/>
  </si>
  <si>
    <t>디지털매체 활용수학 수업 연구회
 (디지털 교육자료 및 리소스 개발)</t>
  </si>
  <si>
    <t>이현진</t>
  </si>
  <si>
    <t>대구이현초등학교</t>
  </si>
  <si>
    <r>
      <t xml:space="preserve">2024. </t>
    </r>
    <r>
      <rPr>
        <sz val="10"/>
        <color theme="1"/>
        <rFont val="맑은 고딕"/>
        <family val="3"/>
        <charset val="129"/>
      </rPr>
      <t>초등</t>
    </r>
    <r>
      <rPr>
        <sz val="10"/>
        <color theme="1"/>
        <rFont val="맑은 고딕"/>
        <family val="2"/>
        <scheme val="minor"/>
      </rPr>
      <t xml:space="preserve"> </t>
    </r>
    <r>
      <rPr>
        <sz val="10"/>
        <color theme="1"/>
        <rFont val="맑은 고딕"/>
        <family val="3"/>
        <charset val="129"/>
      </rPr>
      <t>대구미래학교</t>
    </r>
    <r>
      <rPr>
        <sz val="10"/>
        <color theme="1"/>
        <rFont val="맑은 고딕"/>
        <family val="2"/>
        <scheme val="minor"/>
      </rPr>
      <t xml:space="preserve"> </t>
    </r>
    <r>
      <rPr>
        <sz val="10"/>
        <color theme="1"/>
        <rFont val="맑은 고딕"/>
        <family val="3"/>
        <charset val="129"/>
      </rPr>
      <t>현장지원</t>
    </r>
    <r>
      <rPr>
        <sz val="10"/>
        <color theme="1"/>
        <rFont val="맑은 고딕"/>
        <family val="2"/>
        <scheme val="minor"/>
      </rPr>
      <t xml:space="preserve"> </t>
    </r>
    <r>
      <rPr>
        <sz val="10"/>
        <color theme="1"/>
        <rFont val="맑은 고딕"/>
        <family val="3"/>
        <charset val="129"/>
      </rPr>
      <t>핵심요원</t>
    </r>
    <r>
      <rPr>
        <sz val="10"/>
        <color theme="1"/>
        <rFont val="맑은 고딕"/>
        <family val="2"/>
        <scheme val="minor"/>
      </rPr>
      <t>(</t>
    </r>
    <r>
      <rPr>
        <sz val="10"/>
        <color theme="1"/>
        <rFont val="맑은 고딕"/>
        <family val="3"/>
        <charset val="129"/>
      </rPr>
      <t>수업</t>
    </r>
    <r>
      <rPr>
        <sz val="10"/>
        <color theme="1"/>
        <rFont val="맑은 고딕"/>
        <family val="2"/>
        <scheme val="minor"/>
      </rPr>
      <t>-</t>
    </r>
    <r>
      <rPr>
        <sz val="10"/>
        <color theme="1"/>
        <rFont val="맑은 고딕"/>
        <family val="3"/>
        <charset val="129"/>
      </rPr>
      <t>평가분야</t>
    </r>
    <r>
      <rPr>
        <sz val="10"/>
        <color theme="1"/>
        <rFont val="맑은 고딕"/>
        <family val="2"/>
        <scheme val="minor"/>
      </rPr>
      <t xml:space="preserve">)
2023. </t>
    </r>
    <r>
      <rPr>
        <sz val="10"/>
        <color theme="1"/>
        <rFont val="맑은 고딕"/>
        <family val="3"/>
        <charset val="129"/>
      </rPr>
      <t>대구광역시교육청</t>
    </r>
    <r>
      <rPr>
        <sz val="10"/>
        <color theme="1"/>
        <rFont val="맑은 고딕"/>
        <family val="2"/>
        <scheme val="minor"/>
      </rPr>
      <t xml:space="preserve"> </t>
    </r>
    <r>
      <rPr>
        <sz val="10"/>
        <color theme="1"/>
        <rFont val="맑은 고딕"/>
        <family val="3"/>
        <charset val="129"/>
      </rPr>
      <t xml:space="preserve">마음교육지원단
</t>
    </r>
    <r>
      <rPr>
        <sz val="10"/>
        <color theme="1"/>
        <rFont val="맑은 고딕"/>
        <family val="2"/>
        <scheme val="minor"/>
      </rPr>
      <t xml:space="preserve">2023. </t>
    </r>
    <r>
      <rPr>
        <sz val="10"/>
        <color theme="1"/>
        <rFont val="맑은 고딕"/>
        <family val="3"/>
        <charset val="129"/>
      </rPr>
      <t>초등학교</t>
    </r>
    <r>
      <rPr>
        <sz val="10"/>
        <color theme="1"/>
        <rFont val="맑은 고딕"/>
        <family val="2"/>
        <scheme val="minor"/>
      </rPr>
      <t xml:space="preserve"> </t>
    </r>
    <r>
      <rPr>
        <sz val="10"/>
        <color theme="1"/>
        <rFont val="맑은 고딕"/>
        <family val="3"/>
        <charset val="129"/>
      </rPr>
      <t>교육과정</t>
    </r>
    <r>
      <rPr>
        <sz val="10"/>
        <color theme="1"/>
        <rFont val="맑은 고딕"/>
        <family val="2"/>
        <scheme val="minor"/>
      </rPr>
      <t xml:space="preserve"> </t>
    </r>
    <r>
      <rPr>
        <sz val="10"/>
        <color theme="1"/>
        <rFont val="맑은 고딕"/>
        <family val="3"/>
        <charset val="129"/>
      </rPr>
      <t>실행력</t>
    </r>
    <r>
      <rPr>
        <sz val="10"/>
        <color theme="1"/>
        <rFont val="맑은 고딕"/>
        <family val="2"/>
        <scheme val="minor"/>
      </rPr>
      <t xml:space="preserve"> </t>
    </r>
    <r>
      <rPr>
        <sz val="10"/>
        <color theme="1"/>
        <rFont val="맑은 고딕"/>
        <family val="3"/>
        <charset val="129"/>
      </rPr>
      <t>강화를</t>
    </r>
    <r>
      <rPr>
        <sz val="10"/>
        <color theme="1"/>
        <rFont val="맑은 고딕"/>
        <family val="2"/>
        <scheme val="minor"/>
      </rPr>
      <t xml:space="preserve"> </t>
    </r>
    <r>
      <rPr>
        <sz val="10"/>
        <color theme="1"/>
        <rFont val="맑은 고딕"/>
        <family val="3"/>
        <charset val="129"/>
      </rPr>
      <t>위한</t>
    </r>
    <r>
      <rPr>
        <sz val="10"/>
        <color theme="1"/>
        <rFont val="맑은 고딕"/>
        <family val="2"/>
        <scheme val="minor"/>
      </rPr>
      <t xml:space="preserve"> TF</t>
    </r>
    <r>
      <rPr>
        <sz val="10"/>
        <color theme="1"/>
        <rFont val="맑은 고딕"/>
        <family val="3"/>
        <charset val="129"/>
      </rPr>
      <t xml:space="preserve">임원
</t>
    </r>
    <r>
      <rPr>
        <sz val="10"/>
        <color theme="1"/>
        <rFont val="맑은 고딕"/>
        <family val="2"/>
        <scheme val="minor"/>
      </rPr>
      <t xml:space="preserve">2022. </t>
    </r>
    <r>
      <rPr>
        <sz val="10"/>
        <color theme="1"/>
        <rFont val="맑은 고딕"/>
        <family val="3"/>
        <charset val="129"/>
      </rPr>
      <t>대구광역시</t>
    </r>
    <r>
      <rPr>
        <sz val="10"/>
        <color theme="1"/>
        <rFont val="맑은 고딕"/>
        <family val="2"/>
        <scheme val="minor"/>
      </rPr>
      <t xml:space="preserve"> IB </t>
    </r>
    <r>
      <rPr>
        <sz val="10"/>
        <color theme="1"/>
        <rFont val="맑은 고딕"/>
        <family val="3"/>
        <charset val="129"/>
      </rPr>
      <t>연구회</t>
    </r>
    <r>
      <rPr>
        <sz val="10"/>
        <color theme="1"/>
        <rFont val="맑은 고딕"/>
        <family val="2"/>
        <scheme val="minor"/>
      </rPr>
      <t xml:space="preserve"> 3</t>
    </r>
    <r>
      <rPr>
        <sz val="10"/>
        <color theme="1"/>
        <rFont val="맑은 고딕"/>
        <family val="3"/>
        <charset val="129"/>
      </rPr>
      <t>팀</t>
    </r>
    <r>
      <rPr>
        <sz val="10"/>
        <color theme="1"/>
        <rFont val="맑은 고딕"/>
        <family val="2"/>
        <scheme val="minor"/>
      </rPr>
      <t xml:space="preserve"> </t>
    </r>
    <r>
      <rPr>
        <sz val="10"/>
        <color theme="1"/>
        <rFont val="맑은 고딕"/>
        <family val="3"/>
        <charset val="129"/>
      </rPr>
      <t>팀장</t>
    </r>
    <r>
      <rPr>
        <sz val="10"/>
        <color theme="1"/>
        <rFont val="맑은 고딕"/>
        <family val="2"/>
        <scheme val="minor"/>
      </rPr>
      <t xml:space="preserve"> </t>
    </r>
    <r>
      <rPr>
        <sz val="10"/>
        <color theme="1"/>
        <rFont val="맑은 고딕"/>
        <family val="3"/>
        <charset val="129"/>
      </rPr>
      <t xml:space="preserve">역임
</t>
    </r>
    <r>
      <rPr>
        <sz val="10"/>
        <color theme="1"/>
        <rFont val="맑은 고딕"/>
        <family val="2"/>
        <scheme val="minor"/>
      </rPr>
      <t>2020.</t>
    </r>
    <r>
      <rPr>
        <sz val="10"/>
        <color theme="1"/>
        <rFont val="맑은 고딕"/>
        <family val="3"/>
        <charset val="129"/>
      </rPr>
      <t>대구미래역량교육과정</t>
    </r>
    <r>
      <rPr>
        <sz val="10"/>
        <color theme="1"/>
        <rFont val="맑은 고딕"/>
        <family val="2"/>
        <scheme val="minor"/>
      </rPr>
      <t xml:space="preserve"> </t>
    </r>
    <r>
      <rPr>
        <sz val="10"/>
        <color theme="1"/>
        <rFont val="맑은 고딕"/>
        <family val="3"/>
        <charset val="129"/>
      </rPr>
      <t>편성</t>
    </r>
    <r>
      <rPr>
        <sz val="10"/>
        <color theme="1"/>
        <rFont val="맑은 고딕"/>
        <family val="2"/>
        <scheme val="minor"/>
      </rPr>
      <t xml:space="preserve">, </t>
    </r>
    <r>
      <rPr>
        <sz val="10"/>
        <color theme="1"/>
        <rFont val="맑은 고딕"/>
        <family val="3"/>
        <charset val="129"/>
      </rPr>
      <t>운영지침</t>
    </r>
    <r>
      <rPr>
        <sz val="10"/>
        <color theme="1"/>
        <rFont val="맑은 고딕"/>
        <family val="2"/>
        <scheme val="minor"/>
      </rPr>
      <t xml:space="preserve"> </t>
    </r>
    <r>
      <rPr>
        <sz val="10"/>
        <color theme="1"/>
        <rFont val="맑은 고딕"/>
        <family val="3"/>
        <charset val="129"/>
      </rPr>
      <t>연구</t>
    </r>
    <r>
      <rPr>
        <sz val="10"/>
        <color theme="1"/>
        <rFont val="맑은 고딕"/>
        <family val="2"/>
        <scheme val="minor"/>
      </rPr>
      <t xml:space="preserve"> </t>
    </r>
    <r>
      <rPr>
        <sz val="10"/>
        <color theme="1"/>
        <rFont val="맑은 고딕"/>
        <family val="3"/>
        <charset val="129"/>
      </rPr>
      <t xml:space="preserve">개발위원
</t>
    </r>
    <r>
      <rPr>
        <sz val="10"/>
        <color theme="1"/>
        <rFont val="맑은 고딕"/>
        <family val="2"/>
        <scheme val="minor"/>
      </rPr>
      <t>2019.</t>
    </r>
    <r>
      <rPr>
        <sz val="10"/>
        <color theme="1"/>
        <rFont val="맑은 고딕"/>
        <family val="3"/>
        <charset val="129"/>
      </rPr>
      <t>학생평가</t>
    </r>
    <r>
      <rPr>
        <sz val="10"/>
        <color theme="1"/>
        <rFont val="맑은 고딕"/>
        <family val="2"/>
        <scheme val="minor"/>
      </rPr>
      <t xml:space="preserve"> </t>
    </r>
    <r>
      <rPr>
        <sz val="10"/>
        <color theme="1"/>
        <rFont val="맑은 고딕"/>
        <family val="3"/>
        <charset val="129"/>
      </rPr>
      <t>수업</t>
    </r>
    <r>
      <rPr>
        <sz val="10"/>
        <color theme="1"/>
        <rFont val="맑은 고딕"/>
        <family val="2"/>
        <scheme val="minor"/>
      </rPr>
      <t xml:space="preserve"> </t>
    </r>
    <r>
      <rPr>
        <sz val="10"/>
        <color theme="1"/>
        <rFont val="맑은 고딕"/>
        <family val="3"/>
        <charset val="129"/>
      </rPr>
      <t>연구회</t>
    </r>
    <r>
      <rPr>
        <sz val="10"/>
        <color theme="1"/>
        <rFont val="맑은 고딕"/>
        <family val="2"/>
        <scheme val="minor"/>
      </rPr>
      <t xml:space="preserve"> </t>
    </r>
    <r>
      <rPr>
        <sz val="10"/>
        <color theme="1"/>
        <rFont val="맑은 고딕"/>
        <family val="3"/>
        <charset val="129"/>
      </rPr>
      <t>위원</t>
    </r>
    <r>
      <rPr>
        <sz val="10"/>
        <color theme="1"/>
        <rFont val="맑은 고딕"/>
        <family val="2"/>
        <scheme val="minor"/>
      </rPr>
      <t xml:space="preserve"> </t>
    </r>
    <r>
      <rPr>
        <sz val="10"/>
        <color theme="1"/>
        <rFont val="맑은 고딕"/>
        <family val="3"/>
        <charset val="129"/>
      </rPr>
      <t>및</t>
    </r>
    <r>
      <rPr>
        <sz val="10"/>
        <color theme="1"/>
        <rFont val="맑은 고딕"/>
        <family val="2"/>
        <scheme val="minor"/>
      </rPr>
      <t xml:space="preserve"> </t>
    </r>
    <r>
      <rPr>
        <sz val="10"/>
        <color theme="1"/>
        <rFont val="맑은 고딕"/>
        <family val="3"/>
        <charset val="129"/>
      </rPr>
      <t>대구광역시</t>
    </r>
    <r>
      <rPr>
        <sz val="10"/>
        <color theme="1"/>
        <rFont val="맑은 고딕"/>
        <family val="2"/>
        <scheme val="minor"/>
      </rPr>
      <t xml:space="preserve"> </t>
    </r>
    <r>
      <rPr>
        <sz val="10"/>
        <color theme="1"/>
        <rFont val="맑은 고딕"/>
        <family val="3"/>
        <charset val="129"/>
      </rPr>
      <t>교육청</t>
    </r>
    <r>
      <rPr>
        <sz val="10"/>
        <color theme="1"/>
        <rFont val="맑은 고딕"/>
        <family val="2"/>
        <scheme val="minor"/>
      </rPr>
      <t xml:space="preserve"> </t>
    </r>
    <r>
      <rPr>
        <sz val="10"/>
        <color theme="1"/>
        <rFont val="맑은 고딕"/>
        <family val="3"/>
        <charset val="129"/>
      </rPr>
      <t xml:space="preserve">과정중심평가지원단
</t>
    </r>
    <r>
      <rPr>
        <sz val="10"/>
        <color theme="1"/>
        <rFont val="맑은 고딕"/>
        <family val="2"/>
        <scheme val="minor"/>
      </rPr>
      <t>2019.</t>
    </r>
    <r>
      <rPr>
        <sz val="10"/>
        <color theme="1"/>
        <rFont val="맑은 고딕"/>
        <family val="3"/>
        <charset val="129"/>
      </rPr>
      <t>대구미래교육정책기획단</t>
    </r>
    <r>
      <rPr>
        <sz val="10"/>
        <color theme="1"/>
        <rFont val="맑은 고딕"/>
        <family val="2"/>
        <scheme val="minor"/>
      </rPr>
      <t xml:space="preserve"> </t>
    </r>
    <r>
      <rPr>
        <sz val="10"/>
        <color theme="1"/>
        <rFont val="맑은 고딕"/>
        <family val="3"/>
        <charset val="129"/>
      </rPr>
      <t>총괄기획분과</t>
    </r>
    <r>
      <rPr>
        <sz val="10"/>
        <color theme="1"/>
        <rFont val="맑은 고딕"/>
        <family val="2"/>
        <scheme val="minor"/>
      </rPr>
      <t xml:space="preserve"> </t>
    </r>
    <r>
      <rPr>
        <sz val="10"/>
        <color theme="1"/>
        <rFont val="맑은 고딕"/>
        <family val="3"/>
        <charset val="129"/>
      </rPr>
      <t xml:space="preserve">위원
</t>
    </r>
    <r>
      <rPr>
        <sz val="10"/>
        <color theme="1"/>
        <rFont val="맑은 고딕"/>
        <family val="2"/>
        <scheme val="minor"/>
      </rPr>
      <t>2018.</t>
    </r>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영어과</t>
    </r>
    <r>
      <rPr>
        <sz val="10"/>
        <color theme="1"/>
        <rFont val="맑은 고딕"/>
        <family val="2"/>
        <scheme val="minor"/>
      </rPr>
      <t xml:space="preserve"> </t>
    </r>
    <r>
      <rPr>
        <sz val="10"/>
        <color theme="1"/>
        <rFont val="맑은 고딕"/>
        <family val="3"/>
        <charset val="129"/>
      </rPr>
      <t>교과서재구성연구회</t>
    </r>
    <r>
      <rPr>
        <sz val="10"/>
        <color theme="1"/>
        <rFont val="맑은 고딕"/>
        <family val="2"/>
        <scheme val="minor"/>
      </rPr>
      <t xml:space="preserve"> </t>
    </r>
    <r>
      <rPr>
        <sz val="10"/>
        <color theme="1"/>
        <rFont val="맑은 고딕"/>
        <family val="3"/>
        <charset val="129"/>
      </rPr>
      <t>회장</t>
    </r>
    <r>
      <rPr>
        <sz val="10"/>
        <color theme="1"/>
        <rFont val="맑은 고딕"/>
        <family val="2"/>
        <scheme val="minor"/>
      </rPr>
      <t xml:space="preserve"> </t>
    </r>
    <r>
      <rPr>
        <sz val="10"/>
        <color theme="1"/>
        <rFont val="맑은 고딕"/>
        <family val="3"/>
        <charset val="129"/>
      </rPr>
      <t xml:space="preserve">역임
</t>
    </r>
    <r>
      <rPr>
        <sz val="10"/>
        <color theme="1"/>
        <rFont val="맑은 고딕"/>
        <family val="2"/>
        <scheme val="minor"/>
      </rPr>
      <t xml:space="preserve">2016-2017. </t>
    </r>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교사공동체수업탐구</t>
    </r>
    <r>
      <rPr>
        <sz val="10"/>
        <color theme="1"/>
        <rFont val="맑은 고딕"/>
        <family val="2"/>
        <scheme val="minor"/>
      </rPr>
      <t xml:space="preserve"> </t>
    </r>
    <r>
      <rPr>
        <sz val="10"/>
        <color theme="1"/>
        <rFont val="맑은 고딕"/>
        <family val="3"/>
        <charset val="129"/>
      </rPr>
      <t>개발위원</t>
    </r>
  </si>
  <si>
    <t>2024 교육부 AIDT 교실혁명 전체교원연수 교재집필위원</t>
  </si>
  <si>
    <t>임선하</t>
  </si>
  <si>
    <t>덕화중학교</t>
  </si>
  <si>
    <r>
      <rPr>
        <sz val="10"/>
        <color theme="1"/>
        <rFont val="맑은 고딕"/>
        <family val="3"/>
        <charset val="129"/>
      </rPr>
      <t xml:space="preserve">대구미래학교수업리더양성연수
대구미래학교수업평가역량강화직무연수
</t>
    </r>
    <r>
      <rPr>
        <sz val="10"/>
        <color theme="1"/>
        <rFont val="맑은 고딕"/>
        <family val="2"/>
        <scheme val="minor"/>
      </rPr>
      <t>AI</t>
    </r>
    <r>
      <rPr>
        <sz val="10"/>
        <color theme="1"/>
        <rFont val="맑은 고딕"/>
        <family val="3"/>
        <charset val="129"/>
      </rPr>
      <t>기반디지털역량강화직무연수</t>
    </r>
  </si>
  <si>
    <t>장원우</t>
  </si>
  <si>
    <t>대구유가초등학교</t>
  </si>
  <si>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장관</t>
    </r>
    <r>
      <rPr>
        <sz val="10"/>
        <color theme="1"/>
        <rFont val="맑은 고딕"/>
        <family val="2"/>
        <scheme val="minor"/>
      </rPr>
      <t xml:space="preserve"> </t>
    </r>
    <r>
      <rPr>
        <sz val="10"/>
        <color theme="1"/>
        <rFont val="맑은 고딕"/>
        <family val="3"/>
        <charset val="129"/>
      </rPr>
      <t>표창</t>
    </r>
    <r>
      <rPr>
        <sz val="10"/>
        <color theme="1"/>
        <rFont val="맑은 고딕"/>
        <family val="2"/>
        <scheme val="minor"/>
      </rPr>
      <t xml:space="preserve"> </t>
    </r>
    <r>
      <rPr>
        <sz val="10"/>
        <color theme="1"/>
        <rFont val="맑은 고딕"/>
        <family val="3"/>
        <charset val="129"/>
      </rPr>
      <t xml:space="preserve">수상
</t>
    </r>
    <r>
      <rPr>
        <sz val="10"/>
        <color theme="1"/>
        <rFont val="맑은 고딕"/>
        <family val="2"/>
        <scheme val="minor"/>
      </rPr>
      <t xml:space="preserve"> ('24,12.31.)</t>
    </r>
  </si>
  <si>
    <t>대구광역시교육청 마음학기제 워크북(마음하이5) 및 지도서 개발 참여2023 한국과학창의재단 인공지능(AI)교육 교사연구회</t>
  </si>
  <si>
    <t>정동진</t>
  </si>
  <si>
    <t>유가중학교</t>
  </si>
  <si>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장관</t>
    </r>
    <r>
      <rPr>
        <sz val="10"/>
        <color theme="1"/>
        <rFont val="맑은 고딕"/>
        <family val="2"/>
        <scheme val="minor"/>
      </rPr>
      <t xml:space="preserve"> </t>
    </r>
    <r>
      <rPr>
        <sz val="10"/>
        <color theme="1"/>
        <rFont val="맑은 고딕"/>
        <family val="3"/>
        <charset val="129"/>
      </rPr>
      <t>표창</t>
    </r>
    <r>
      <rPr>
        <sz val="10"/>
        <color theme="1"/>
        <rFont val="맑은 고딕"/>
        <family val="2"/>
        <scheme val="minor"/>
      </rPr>
      <t>('25.01)</t>
    </r>
  </si>
  <si>
    <t>AI융합 교사학습 공동체
 - 디지털 기반 교수학습</t>
  </si>
  <si>
    <t>정연교</t>
  </si>
  <si>
    <t>구지초등학교</t>
  </si>
  <si>
    <t>실과교육과</t>
  </si>
  <si>
    <r>
      <t>2024(</t>
    </r>
    <r>
      <rPr>
        <sz val="10"/>
        <color theme="1"/>
        <rFont val="맑은 고딕"/>
        <family val="3"/>
        <charset val="129"/>
      </rPr>
      <t>초등과학</t>
    </r>
    <r>
      <rPr>
        <sz val="10"/>
        <color theme="1"/>
        <rFont val="맑은 고딕"/>
        <family val="2"/>
        <scheme val="minor"/>
      </rPr>
      <t>)</t>
    </r>
    <r>
      <rPr>
        <sz val="10"/>
        <color theme="1"/>
        <rFont val="맑은 고딕"/>
        <family val="3"/>
        <charset val="129"/>
      </rPr>
      <t>마이크로비트</t>
    </r>
    <r>
      <rPr>
        <sz val="10"/>
        <color theme="1"/>
        <rFont val="맑은 고딕"/>
        <family val="2"/>
        <scheme val="minor"/>
      </rPr>
      <t xml:space="preserve"> </t>
    </r>
    <r>
      <rPr>
        <sz val="10"/>
        <color theme="1"/>
        <rFont val="맑은 고딕"/>
        <family val="3"/>
        <charset val="129"/>
      </rPr>
      <t>활용한</t>
    </r>
    <r>
      <rPr>
        <sz val="10"/>
        <color theme="1"/>
        <rFont val="맑은 고딕"/>
        <family val="2"/>
        <scheme val="minor"/>
      </rPr>
      <t xml:space="preserve"> </t>
    </r>
    <r>
      <rPr>
        <sz val="10"/>
        <color theme="1"/>
        <rFont val="맑은 고딕"/>
        <family val="3"/>
        <charset val="129"/>
      </rPr>
      <t>과학수업</t>
    </r>
    <r>
      <rPr>
        <sz val="10"/>
        <color theme="1"/>
        <rFont val="맑은 고딕"/>
        <family val="2"/>
        <scheme val="minor"/>
      </rPr>
      <t xml:space="preserve"> </t>
    </r>
    <r>
      <rPr>
        <sz val="10"/>
        <color theme="1"/>
        <rFont val="맑은 고딕"/>
        <family val="3"/>
        <charset val="129"/>
      </rPr>
      <t>따라잡기</t>
    </r>
    <r>
      <rPr>
        <sz val="10"/>
        <color theme="1"/>
        <rFont val="맑은 고딕"/>
        <family val="2"/>
        <scheme val="minor"/>
      </rPr>
      <t xml:space="preserve"> </t>
    </r>
    <r>
      <rPr>
        <sz val="10"/>
        <color theme="1"/>
        <rFont val="맑은 고딕"/>
        <family val="3"/>
        <charset val="129"/>
      </rPr>
      <t xml:space="preserve">직무연수
</t>
    </r>
    <r>
      <rPr>
        <sz val="10"/>
        <color theme="1"/>
        <rFont val="맑은 고딕"/>
        <family val="2"/>
        <scheme val="minor"/>
      </rPr>
      <t xml:space="preserve">AIEDAP </t>
    </r>
    <r>
      <rPr>
        <sz val="10"/>
        <color theme="1"/>
        <rFont val="맑은 고딕"/>
        <family val="3"/>
        <charset val="129"/>
      </rPr>
      <t>마스터교원</t>
    </r>
  </si>
  <si>
    <t>정용봉</t>
  </si>
  <si>
    <t>대구구지초등학교</t>
  </si>
  <si>
    <t>초등교육(과학교육심화과정)</t>
  </si>
  <si>
    <r>
      <t xml:space="preserve">2024 </t>
    </r>
    <r>
      <rPr>
        <sz val="10"/>
        <color theme="1"/>
        <rFont val="맑은 고딕"/>
        <family val="3"/>
        <charset val="129"/>
      </rPr>
      <t>교실혁명</t>
    </r>
    <r>
      <rPr>
        <sz val="10"/>
        <color theme="1"/>
        <rFont val="맑은 고딕"/>
        <family val="2"/>
        <scheme val="minor"/>
      </rPr>
      <t xml:space="preserve"> </t>
    </r>
    <r>
      <rPr>
        <sz val="10"/>
        <color theme="1"/>
        <rFont val="맑은 고딕"/>
        <family val="3"/>
        <charset val="129"/>
      </rPr>
      <t>선도교사</t>
    </r>
    <r>
      <rPr>
        <sz val="10"/>
        <color theme="1"/>
        <rFont val="맑은 고딕"/>
        <family val="2"/>
        <scheme val="minor"/>
      </rPr>
      <t xml:space="preserve"> </t>
    </r>
    <r>
      <rPr>
        <sz val="10"/>
        <color theme="1"/>
        <rFont val="맑은 고딕"/>
        <family val="3"/>
        <charset val="129"/>
      </rPr>
      <t>양성연수</t>
    </r>
    <r>
      <rPr>
        <sz val="10"/>
        <color theme="1"/>
        <rFont val="맑은 고딕"/>
        <family val="2"/>
        <scheme val="minor"/>
      </rPr>
      <t xml:space="preserve"> </t>
    </r>
    <r>
      <rPr>
        <sz val="10"/>
        <color theme="1"/>
        <rFont val="맑은 고딕"/>
        <family val="3"/>
        <charset val="129"/>
      </rPr>
      <t xml:space="preserve">주강사
</t>
    </r>
    <r>
      <rPr>
        <sz val="10"/>
        <color theme="1"/>
        <rFont val="맑은 고딕"/>
        <family val="2"/>
        <scheme val="minor"/>
      </rPr>
      <t xml:space="preserve"> 2024 </t>
    </r>
    <r>
      <rPr>
        <sz val="10"/>
        <color theme="1"/>
        <rFont val="맑은 고딕"/>
        <family val="3"/>
        <charset val="129"/>
      </rPr>
      <t>찾아가는</t>
    </r>
    <r>
      <rPr>
        <sz val="10"/>
        <color theme="1"/>
        <rFont val="맑은 고딕"/>
        <family val="2"/>
        <scheme val="minor"/>
      </rPr>
      <t xml:space="preserve"> </t>
    </r>
    <r>
      <rPr>
        <sz val="10"/>
        <color theme="1"/>
        <rFont val="맑은 고딕"/>
        <family val="3"/>
        <charset val="129"/>
      </rPr>
      <t>학교</t>
    </r>
    <r>
      <rPr>
        <sz val="10"/>
        <color theme="1"/>
        <rFont val="맑은 고딕"/>
        <family val="2"/>
        <scheme val="minor"/>
      </rPr>
      <t xml:space="preserve"> </t>
    </r>
    <r>
      <rPr>
        <sz val="10"/>
        <color theme="1"/>
        <rFont val="맑은 고딕"/>
        <family val="3"/>
        <charset val="129"/>
      </rPr>
      <t>컨설팅</t>
    </r>
    <r>
      <rPr>
        <sz val="10"/>
        <color theme="1"/>
        <rFont val="맑은 고딕"/>
        <family val="2"/>
        <scheme val="minor"/>
      </rPr>
      <t xml:space="preserve"> </t>
    </r>
    <r>
      <rPr>
        <sz val="10"/>
        <color theme="1"/>
        <rFont val="맑은 고딕"/>
        <family val="3"/>
        <charset val="129"/>
      </rPr>
      <t>주강사</t>
    </r>
    <r>
      <rPr>
        <sz val="10"/>
        <color theme="1"/>
        <rFont val="맑은 고딕"/>
        <family val="2"/>
        <scheme val="minor"/>
      </rPr>
      <t>(4</t>
    </r>
    <r>
      <rPr>
        <sz val="10"/>
        <color theme="1"/>
        <rFont val="맑은 고딕"/>
        <family val="3"/>
        <charset val="129"/>
      </rPr>
      <t>주제</t>
    </r>
    <r>
      <rPr>
        <sz val="10"/>
        <color theme="1"/>
        <rFont val="맑은 고딕"/>
        <family val="2"/>
        <scheme val="minor"/>
      </rPr>
      <t xml:space="preserve"> </t>
    </r>
    <r>
      <rPr>
        <sz val="10"/>
        <color theme="1"/>
        <rFont val="맑은 고딕"/>
        <family val="3"/>
        <charset val="129"/>
      </rPr>
      <t>교실혁명을</t>
    </r>
    <r>
      <rPr>
        <sz val="10"/>
        <color theme="1"/>
        <rFont val="맑은 고딕"/>
        <family val="2"/>
        <scheme val="minor"/>
      </rPr>
      <t xml:space="preserve"> </t>
    </r>
    <r>
      <rPr>
        <sz val="10"/>
        <color theme="1"/>
        <rFont val="맑은 고딕"/>
        <family val="3"/>
        <charset val="129"/>
      </rPr>
      <t>위한</t>
    </r>
    <r>
      <rPr>
        <sz val="10"/>
        <color theme="1"/>
        <rFont val="맑은 고딕"/>
        <family val="2"/>
        <scheme val="minor"/>
      </rPr>
      <t xml:space="preserve"> </t>
    </r>
    <r>
      <rPr>
        <sz val="10"/>
        <color theme="1"/>
        <rFont val="맑은 고딕"/>
        <family val="3"/>
        <charset val="129"/>
      </rPr>
      <t>학부모의</t>
    </r>
    <r>
      <rPr>
        <sz val="10"/>
        <color theme="1"/>
        <rFont val="맑은 고딕"/>
        <family val="2"/>
        <scheme val="minor"/>
      </rPr>
      <t xml:space="preserve"> </t>
    </r>
    <r>
      <rPr>
        <sz val="10"/>
        <color theme="1"/>
        <rFont val="맑은 고딕"/>
        <family val="3"/>
        <charset val="129"/>
      </rPr>
      <t>이해</t>
    </r>
    <r>
      <rPr>
        <sz val="10"/>
        <color theme="1"/>
        <rFont val="맑은 고딕"/>
        <family val="2"/>
        <scheme val="minor"/>
      </rPr>
      <t>)</t>
    </r>
  </si>
  <si>
    <t>조정현</t>
  </si>
  <si>
    <t>19930914</t>
  </si>
  <si>
    <t>전주서중학교</t>
  </si>
  <si>
    <t>2024년 교실혁명 선도교사 및 교실혁명 선도교사 양성 연수 강의(교육부)
2024년 찾아가는 학교 컨설팅 코디네이터 및 강사(교육부)</t>
    <phoneticPr fontId="12" type="noConversion"/>
  </si>
  <si>
    <t>조진희</t>
  </si>
  <si>
    <t>대구서평초등학교</t>
  </si>
  <si>
    <t>초등미술</t>
  </si>
  <si>
    <r>
      <rPr>
        <sz val="10"/>
        <color theme="1"/>
        <rFont val="맑은 고딕"/>
        <family val="3"/>
        <charset val="129"/>
      </rPr>
      <t>교육감</t>
    </r>
    <r>
      <rPr>
        <sz val="10"/>
        <color theme="1"/>
        <rFont val="맑은 고딕"/>
        <family val="2"/>
        <scheme val="minor"/>
      </rPr>
      <t>(</t>
    </r>
    <r>
      <rPr>
        <sz val="10"/>
        <color theme="1"/>
        <rFont val="맑은 고딕"/>
        <family val="3"/>
        <charset val="129"/>
      </rPr>
      <t>학교</t>
    </r>
    <r>
      <rPr>
        <sz val="10"/>
        <color theme="1"/>
        <rFont val="맑은 고딕"/>
        <family val="2"/>
        <scheme val="minor"/>
      </rPr>
      <t>)</t>
    </r>
    <r>
      <rPr>
        <sz val="10"/>
        <color theme="1"/>
        <rFont val="맑은 고딕"/>
        <family val="3"/>
        <charset val="129"/>
      </rPr>
      <t xml:space="preserve">표창
</t>
    </r>
    <r>
      <rPr>
        <sz val="10"/>
        <color theme="1"/>
        <rFont val="맑은 고딕"/>
        <family val="2"/>
        <scheme val="minor"/>
      </rPr>
      <t xml:space="preserve"> 2023.12.31.
 </t>
    </r>
    <r>
      <rPr>
        <sz val="10"/>
        <color theme="1"/>
        <rFont val="맑은 고딕"/>
        <family val="3"/>
        <charset val="129"/>
      </rPr>
      <t>교육부</t>
    </r>
    <r>
      <rPr>
        <sz val="10"/>
        <color theme="1"/>
        <rFont val="맑은 고딕"/>
        <family val="2"/>
        <scheme val="minor"/>
      </rPr>
      <t xml:space="preserve"> </t>
    </r>
    <r>
      <rPr>
        <sz val="10"/>
        <color theme="1"/>
        <rFont val="맑은 고딕"/>
        <family val="3"/>
        <charset val="129"/>
      </rPr>
      <t>수업평가</t>
    </r>
    <r>
      <rPr>
        <sz val="10"/>
        <color theme="1"/>
        <rFont val="맑은 고딕"/>
        <family val="2"/>
        <scheme val="minor"/>
      </rPr>
      <t xml:space="preserve"> </t>
    </r>
    <r>
      <rPr>
        <sz val="10"/>
        <color theme="1"/>
        <rFont val="맑은 고딕"/>
        <family val="3"/>
        <charset val="129"/>
      </rPr>
      <t xml:space="preserve">연구회
</t>
    </r>
    <r>
      <rPr>
        <sz val="10"/>
        <color theme="1"/>
        <rFont val="맑은 고딕"/>
        <family val="2"/>
        <scheme val="minor"/>
      </rPr>
      <t xml:space="preserve"> 2024</t>
    </r>
  </si>
  <si>
    <t>개념기반탐구학습 관련 교사 전문학습공동체 참여(2022-2024)</t>
  </si>
  <si>
    <t>차지향</t>
  </si>
  <si>
    <t>칠곡중학교</t>
  </si>
  <si>
    <r>
      <t>ICT</t>
    </r>
    <r>
      <rPr>
        <sz val="10"/>
        <color theme="1"/>
        <rFont val="맑은 고딕"/>
        <family val="3"/>
        <charset val="129"/>
      </rPr>
      <t>창의성</t>
    </r>
    <r>
      <rPr>
        <sz val="10"/>
        <color theme="1"/>
        <rFont val="맑은 고딕"/>
        <family val="2"/>
        <scheme val="minor"/>
      </rPr>
      <t xml:space="preserve"> </t>
    </r>
    <r>
      <rPr>
        <sz val="10"/>
        <color theme="1"/>
        <rFont val="맑은 고딕"/>
        <family val="3"/>
        <charset val="129"/>
      </rPr>
      <t>경진대회</t>
    </r>
    <r>
      <rPr>
        <sz val="10"/>
        <color theme="1"/>
        <rFont val="맑은 고딕"/>
        <family val="2"/>
        <scheme val="minor"/>
      </rPr>
      <t xml:space="preserve"> </t>
    </r>
    <r>
      <rPr>
        <sz val="10"/>
        <color theme="1"/>
        <rFont val="맑은 고딕"/>
        <family val="3"/>
        <charset val="129"/>
      </rPr>
      <t>지도교사상</t>
    </r>
    <r>
      <rPr>
        <sz val="10"/>
        <color theme="1"/>
        <rFont val="맑은 고딕"/>
        <family val="2"/>
        <scheme val="minor"/>
      </rPr>
      <t xml:space="preserve"> </t>
    </r>
    <r>
      <rPr>
        <sz val="10"/>
        <color theme="1"/>
        <rFont val="맑은 고딕"/>
        <family val="3"/>
        <charset val="129"/>
      </rPr>
      <t>수상</t>
    </r>
    <r>
      <rPr>
        <sz val="10"/>
        <color theme="1"/>
        <rFont val="맑은 고딕"/>
        <family val="2"/>
        <scheme val="minor"/>
      </rPr>
      <t>('24.6.)</t>
    </r>
  </si>
  <si>
    <t>원교재사 교과서 집필</t>
  </si>
  <si>
    <t>최운호</t>
  </si>
  <si>
    <t>19831211</t>
  </si>
  <si>
    <t>함열여중</t>
  </si>
  <si>
    <t>2024교실혁명선도교사양성연수/24.05.23.~24.08.08.(40차시)/한국교육학술정보원
디지털기반학생스마트기기활용교사양성과정/24.12.13.~24.12.14.(6차시)/전북미래교육연구원
수업평가혁신 현장지원단양성 연수/24.7.~24.12. (60차시)/한국교육과정평가원
수학학습더딤의예방과처치를위한수업만들기/24.4.(15차시)/전북교육청</t>
    <phoneticPr fontId="12" type="noConversion"/>
  </si>
  <si>
    <t>최훈주</t>
  </si>
  <si>
    <t>19950905</t>
  </si>
  <si>
    <t>경북소프트웨어고</t>
  </si>
  <si>
    <t>에듀테크 활용 연수 강사 (2023.6.17.).</t>
    <phoneticPr fontId="12" type="noConversion"/>
  </si>
  <si>
    <t>경북SWAI연구회 데이터기반
인공지능교육자료 개발(2021)수업나눔한마당(2022)</t>
  </si>
  <si>
    <t>한승환</t>
  </si>
  <si>
    <t>19860104</t>
  </si>
  <si>
    <t>전주송원초등학교</t>
  </si>
  <si>
    <t>인공지능융합교육</t>
  </si>
  <si>
    <t>챗GPT 융합교육 가이드 채봇수업/15시간/아이스크림원격연수원
어서와, 데이터 AI리터러시 맛집은 처음이지/15시간/티처빌원격연수원
AI빅데이터 시대를 읽는 힘! 학교에서 바로쓰는 데이터 리터러시/15시간/비바샘원격연수원
2024 교실혁명 선도교사 양성연수/23시간/KERIS</t>
    <phoneticPr fontId="12" type="noConversion"/>
  </si>
  <si>
    <t>AISW교과연구회, 인공지능 교사연구회 
-인공지능융합수업 사례 개발</t>
  </si>
  <si>
    <t>한윤석</t>
  </si>
  <si>
    <t>19880314</t>
  </si>
  <si>
    <t>성당중학교</t>
  </si>
  <si>
    <t>AIDT 적용교원 강사</t>
    <phoneticPr fontId="12" type="noConversion"/>
  </si>
  <si>
    <t>전북 에듀테크디지털리터러시 지원단</t>
  </si>
  <si>
    <t>허은혜</t>
  </si>
  <si>
    <t>19770727</t>
  </si>
  <si>
    <t>이서중학교</t>
  </si>
  <si>
    <t>AI융합</t>
  </si>
  <si>
    <t>교육부 장관상 수상('18.12.30)</t>
    <phoneticPr fontId="12" type="noConversion"/>
  </si>
  <si>
    <t>학생의 변화와 성장을 돕는 수업디자인(2023)인성교육교사동아리</t>
  </si>
  <si>
    <t>홍대화</t>
  </si>
  <si>
    <t>대륜고등학교</t>
  </si>
  <si>
    <r>
      <t>AIEDAP</t>
    </r>
    <r>
      <rPr>
        <sz val="10"/>
        <color theme="1"/>
        <rFont val="맑은 고딕"/>
        <family val="3"/>
        <charset val="129"/>
      </rPr>
      <t>인공지능융합수업기초</t>
    </r>
    <r>
      <rPr>
        <sz val="10"/>
        <color theme="1"/>
        <rFont val="맑은 고딕"/>
        <family val="2"/>
        <scheme val="minor"/>
      </rPr>
      <t xml:space="preserve"> (</t>
    </r>
    <r>
      <rPr>
        <sz val="10"/>
        <color theme="1"/>
        <rFont val="맑은 고딕"/>
        <family val="3"/>
        <charset val="129"/>
      </rPr>
      <t>중등</t>
    </r>
    <r>
      <rPr>
        <sz val="10"/>
        <color theme="1"/>
        <rFont val="맑은 고딕"/>
        <family val="2"/>
        <scheme val="minor"/>
      </rPr>
      <t>)-</t>
    </r>
    <r>
      <rPr>
        <sz val="10"/>
        <color theme="1"/>
        <rFont val="맑은 고딕"/>
        <family val="3"/>
        <charset val="129"/>
      </rPr>
      <t xml:space="preserve">기술
</t>
    </r>
    <r>
      <rPr>
        <sz val="10"/>
        <color theme="1"/>
        <rFont val="맑은 고딕"/>
        <family val="2"/>
        <scheme val="minor"/>
      </rPr>
      <t>AIEDAP</t>
    </r>
    <r>
      <rPr>
        <sz val="10"/>
        <color theme="1"/>
        <rFont val="맑은 고딕"/>
        <family val="3"/>
        <charset val="129"/>
      </rPr>
      <t>마스터교원연수</t>
    </r>
    <r>
      <rPr>
        <sz val="10"/>
        <color theme="1"/>
        <rFont val="맑은 고딕"/>
        <family val="2"/>
        <scheme val="minor"/>
      </rPr>
      <t>(</t>
    </r>
    <r>
      <rPr>
        <sz val="10"/>
        <color theme="1"/>
        <rFont val="맑은 고딕"/>
        <family val="3"/>
        <charset val="129"/>
      </rPr>
      <t>신규</t>
    </r>
    <r>
      <rPr>
        <sz val="10"/>
        <color theme="1"/>
        <rFont val="맑은 고딕"/>
        <family val="2"/>
        <scheme val="minor"/>
      </rPr>
      <t xml:space="preserve">)
</t>
    </r>
    <r>
      <rPr>
        <sz val="10"/>
        <color theme="1"/>
        <rFont val="맑은 고딕"/>
        <family val="3"/>
        <charset val="129"/>
      </rPr>
      <t>학교에서</t>
    </r>
    <r>
      <rPr>
        <sz val="10"/>
        <color theme="1"/>
        <rFont val="맑은 고딕"/>
        <family val="2"/>
        <scheme val="minor"/>
      </rPr>
      <t xml:space="preserve"> </t>
    </r>
    <r>
      <rPr>
        <sz val="10"/>
        <color theme="1"/>
        <rFont val="맑은 고딕"/>
        <family val="3"/>
        <charset val="129"/>
      </rPr>
      <t>실천하는</t>
    </r>
    <r>
      <rPr>
        <sz val="10"/>
        <color theme="1"/>
        <rFont val="맑은 고딕"/>
        <family val="2"/>
        <scheme val="minor"/>
      </rPr>
      <t xml:space="preserve"> </t>
    </r>
    <r>
      <rPr>
        <sz val="10"/>
        <color theme="1"/>
        <rFont val="맑은 고딕"/>
        <family val="3"/>
        <charset val="129"/>
      </rPr>
      <t>디지털시민교육직무연수</t>
    </r>
  </si>
  <si>
    <t>터치 2기 연수</t>
  </si>
  <si>
    <t>문택주</t>
  </si>
  <si>
    <t>상당초등학교</t>
  </si>
  <si>
    <t>서울교대</t>
  </si>
  <si>
    <t>강원·충천권</t>
  </si>
  <si>
    <t>김숙희</t>
  </si>
  <si>
    <t>삼육초등학교</t>
  </si>
  <si>
    <t>솔빛초등학교</t>
  </si>
  <si>
    <t>신동훈</t>
  </si>
  <si>
    <t>부론초등학교</t>
  </si>
  <si>
    <t>이지윤</t>
  </si>
  <si>
    <t>봉산초등학교</t>
  </si>
  <si>
    <t>정보통신</t>
  </si>
  <si>
    <t>조민국</t>
  </si>
  <si>
    <t>대덕초등학교</t>
  </si>
  <si>
    <t>김호선</t>
  </si>
  <si>
    <t>강사</t>
  </si>
  <si>
    <t>컴퓨터과학</t>
  </si>
  <si>
    <t>김정인</t>
  </si>
  <si>
    <t>가덕중학교</t>
  </si>
  <si>
    <t>소프트웨어, 인공지능 전공 이수</t>
  </si>
  <si>
    <t>김민자</t>
  </si>
  <si>
    <t>컴퓨터</t>
  </si>
  <si>
    <t>컴퓨터, 코딩 전문 방과후 강사</t>
  </si>
  <si>
    <t>박상희</t>
  </si>
  <si>
    <t>한밭초등학교</t>
  </si>
  <si>
    <t>초등과학</t>
  </si>
  <si>
    <t>김경오</t>
  </si>
  <si>
    <t>성일중학교</t>
  </si>
  <si>
    <t>중등SW AI 연구회</t>
    <phoneticPr fontId="2" type="noConversion"/>
  </si>
  <si>
    <t>디지털새싹강의강사(2022~2024), 학교로 찾아가는 AI 디지털교육 역량강화 보조강사(2024)</t>
  </si>
  <si>
    <t>신법규</t>
  </si>
  <si>
    <t>원동초등학교</t>
  </si>
  <si>
    <t>SE4A교사학습공동체 활동 - Software Educatio for All</t>
  </si>
  <si>
    <t>23-25 디지털새싹 수업 진행 / AIDT 현장적용 교원 연수 강사</t>
  </si>
  <si>
    <t>한정광</t>
  </si>
  <si>
    <t>디지털</t>
  </si>
  <si>
    <t>채승연</t>
  </si>
  <si>
    <t>이영윤</t>
  </si>
  <si>
    <t>군산남중학교</t>
  </si>
  <si>
    <t>정보</t>
  </si>
  <si>
    <t>이서은</t>
  </si>
  <si>
    <t>ai 디지털</t>
  </si>
  <si>
    <t>백주영</t>
  </si>
  <si>
    <t>인공지능</t>
  </si>
  <si>
    <t>행정공간</t>
  </si>
  <si>
    <t>강화학습 자율주행AI 개발자 (Sim2Real)</t>
    <phoneticPr fontId="2" type="noConversion"/>
  </si>
  <si>
    <t>인하대학교 항공우주캠퍼스 319-A호</t>
  </si>
  <si>
    <t>인하대항공우주캠</t>
  </si>
  <si>
    <t>AI 인터렉티브아트 창작자</t>
    <phoneticPr fontId="2" type="noConversion"/>
  </si>
  <si>
    <r>
      <t xml:space="preserve">(AI 인터렉티브아트 창작자) </t>
    </r>
    <r>
      <rPr>
        <b/>
        <sz val="20"/>
        <rFont val="HY견고딕"/>
        <family val="1"/>
        <charset val="129"/>
      </rPr>
      <t>프로그램 세부 산출내역서</t>
    </r>
    <phoneticPr fontId="2" type="noConversion"/>
  </si>
  <si>
    <t>AI배달 로봇 엔지니어</t>
    <phoneticPr fontId="2" type="noConversion"/>
  </si>
  <si>
    <r>
      <t xml:space="preserve">(AI배달 로봇 엔지니어) </t>
    </r>
    <r>
      <rPr>
        <b/>
        <sz val="20"/>
        <rFont val="HY견고딕"/>
        <family val="1"/>
        <charset val="129"/>
      </rPr>
      <t>프로그램 세부 산출내역서</t>
    </r>
    <phoneticPr fontId="2" type="noConversion"/>
  </si>
  <si>
    <t xml:space="preserve">다문화 AI 큐레이터 </t>
    <phoneticPr fontId="2" type="noConversion"/>
  </si>
  <si>
    <r>
      <t xml:space="preserve">(다문화 AI 큐레이터 ) </t>
    </r>
    <r>
      <rPr>
        <b/>
        <sz val="20"/>
        <rFont val="HY견고딕"/>
        <family val="1"/>
        <charset val="129"/>
      </rPr>
      <t>프로그램 세부 산출내역서</t>
    </r>
    <phoneticPr fontId="2" type="noConversion"/>
  </si>
  <si>
    <t xml:space="preserve">재난안전 AI로봇 운용관 </t>
    <phoneticPr fontId="2" type="noConversion"/>
  </si>
  <si>
    <r>
      <t xml:space="preserve">(재난안전 AI로봇 운용관) </t>
    </r>
    <r>
      <rPr>
        <b/>
        <sz val="20"/>
        <rFont val="HY견고딕"/>
        <family val="1"/>
        <charset val="129"/>
      </rPr>
      <t>프로그램 세부 산출내역서</t>
    </r>
    <phoneticPr fontId="2" type="noConversion"/>
  </si>
  <si>
    <t xml:space="preserve">AI데이터 분석관 </t>
    <phoneticPr fontId="2" type="noConversion"/>
  </si>
  <si>
    <r>
      <t xml:space="preserve">(AI데이터 분석관 ) </t>
    </r>
    <r>
      <rPr>
        <b/>
        <sz val="20"/>
        <rFont val="HY견고딕"/>
        <family val="1"/>
        <charset val="129"/>
      </rPr>
      <t>프로그램 세부 산출내역서</t>
    </r>
    <phoneticPr fontId="2" type="noConversion"/>
  </si>
  <si>
    <t>강화학습 자율주행AI 개발자(Sim2Real)</t>
    <phoneticPr fontId="2" type="noConversion"/>
  </si>
  <si>
    <r>
      <t xml:space="preserve">(강화학습 자율주행AI 개발자(Sim2Real)) </t>
    </r>
    <r>
      <rPr>
        <b/>
        <sz val="20"/>
        <rFont val="HY견고딕"/>
        <family val="1"/>
        <charset val="129"/>
      </rPr>
      <t>프로그램 세부 산출내역서</t>
    </r>
    <phoneticPr fontId="2" type="noConversion"/>
  </si>
  <si>
    <t>피지컬AI 어플리케이션 개발자</t>
    <phoneticPr fontId="2" type="noConversion"/>
  </si>
  <si>
    <r>
      <t xml:space="preserve">(피지컬AI 어플리케이션 개발자) </t>
    </r>
    <r>
      <rPr>
        <b/>
        <sz val="20"/>
        <rFont val="HY견고딕"/>
        <family val="1"/>
        <charset val="129"/>
      </rPr>
      <t>프로그램 세부 산출내역서</t>
    </r>
    <phoneticPr fontId="2" type="noConversion"/>
  </si>
  <si>
    <t>성과공유회, 
강사교육 식비/임차료</t>
    <phoneticPr fontId="2" type="noConversion"/>
  </si>
  <si>
    <t>수업인원(B)
* 1개 클래스 기준 예상 평균</t>
    <phoneticPr fontId="2" type="noConversion"/>
  </si>
  <si>
    <t xml:space="preserve">총 사업비 산출내역서   </t>
    <phoneticPr fontId="2" type="noConversion"/>
  </si>
  <si>
    <t>목표인원
(D=BxC)</t>
    <phoneticPr fontId="2" type="noConversion"/>
  </si>
  <si>
    <t>개</t>
  </si>
  <si>
    <t>대</t>
  </si>
  <si>
    <t>교구 구매
(교구, 범용성)</t>
    <phoneticPr fontId="2" type="noConversion"/>
  </si>
  <si>
    <t>ZOOM 1.7</t>
  </si>
  <si>
    <t>ZOOM 1.7</t>
    <phoneticPr fontId="71" type="noConversion"/>
  </si>
  <si>
    <t>Gemini, ChatGPT 6.7</t>
  </si>
  <si>
    <t>Gemini, ChatGPT 6.7</t>
    <phoneticPr fontId="71" type="noConversion"/>
  </si>
  <si>
    <t>클로드6.7</t>
  </si>
  <si>
    <t>클로드6.7</t>
    <phoneticPr fontId="71" type="noConversion"/>
  </si>
  <si>
    <t>캔바5</t>
  </si>
  <si>
    <t>캔바5</t>
    <phoneticPr fontId="71" type="noConversion"/>
  </si>
  <si>
    <t>원</t>
  </si>
  <si>
    <t>x</t>
  </si>
  <si>
    <t>회</t>
  </si>
  <si>
    <t>개월</t>
  </si>
  <si>
    <t xml:space="preserve">노트북 1일 대여 62대 * 8개월 </t>
  </si>
  <si>
    <t>고등학생 프로그램(피지컬 AI 어필리케이션 제작자)의 강사 교육 및 교육 준비 상황에서 강사와 강사 교육 전문가에게 활용_월간 구독료 *4개월</t>
  </si>
  <si>
    <t>학생들의 수업 시간에 배운 내용의 결과물 시각화 제작) 청소년 센터,도서관 교육 시 활용_ 월간 구독료 *1개월</t>
  </si>
  <si>
    <t>1. 서울,인천 및 전국 단위의 강사 교육 / 비대면 교육/ 보조 강사 수업 전 컨설팅, 안전 요원 교육 시에 활용
 2. 여름철 태풍이나 비상시 비대면 교육 전환시 활용__1개/8개월, 7개/4개월 사용</t>
    <phoneticPr fontId="2" type="noConversion"/>
  </si>
  <si>
    <t>1. 서울,인천 및 전국단위의 강사교육/비대면교육/보조강사 수업전 컨설팅, 안전요원 교육 시에 활용
 2. 여름철 태풍이나 비상시 비대면 교육 전환 시 활용__ 월간 구독료 *4개월</t>
    <phoneticPr fontId="2" type="noConversion"/>
  </si>
  <si>
    <t>회의비 5월분(200만원)</t>
    <phoneticPr fontId="2" type="noConversion"/>
  </si>
  <si>
    <t>2차 협약금 입금 후 처리예정</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</si>
</sst>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quot;₩&quot;* #,##0_-;_-&quot;₩&quot;* &quot;-&quot;_-;_-@_-"/>
    <numFmt numFmtId="41" formatCode="_-* #,##0_-;\-* #,##0_-;_-* &quot;-&quot;_-;_-@_-"/>
    <numFmt numFmtId="43" formatCode="_-* #,##0.00_-;\-* #,##0.00_-;_-* &quot;-&quot;??_-;_-@_-"/>
    <numFmt numFmtId="176" formatCode="#,##0_);[Red]\(#,##0\)"/>
    <numFmt numFmtId="177" formatCode="0.0%"/>
    <numFmt numFmtId="178" formatCode="_ &quot;₩&quot;* #,##0_ ;_ &quot;₩&quot;* \-#,##0_ ;_ &quot;₩&quot;* &quot;-&quot;_ ;_ @_ "/>
    <numFmt numFmtId="179" formatCode="#,##0_ "/>
    <numFmt numFmtId="180" formatCode="_-* #,##0.0_-;\-* #,##0.0_-;_-* &quot;-&quot;_-;_-@_-"/>
    <numFmt numFmtId="181" formatCode="_-* #,##0.00_-;\-* #,##0.00_-;_-* &quot;-&quot;_-;_-@_-"/>
    <numFmt numFmtId="182" formatCode="_-* #,##0.000_-;\-* #,##0.000_-;_-* &quot;-&quot;_-;_-@_-"/>
    <numFmt numFmtId="183" formatCode="0.0_ "/>
    <numFmt numFmtId="184" formatCode="0.0_);[Red]\(0.0\)"/>
    <numFmt numFmtId="185" formatCode="_-* #,##0.0_-;\-* #,##0.0_-;_-* &quot;-&quot;?_-;_-@_-"/>
    <numFmt numFmtId="186" formatCode="_-* #,##0_-;\-* #,##0_-;_-* &quot;-&quot;?_-;_-@_-"/>
  </numFmts>
  <fonts count="79">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scheme val="minor"/>
    </font>
    <font>
      <sz val="11"/>
      <color rgb="FFFF0000"/>
      <name val="맑은 고딕"/>
      <family val="2"/>
      <charset val="129"/>
      <scheme val="minor"/>
    </font>
    <font>
      <b/>
      <sz val="10"/>
      <color rgb="FF000000"/>
      <name val="맑은 고딕"/>
      <family val="3"/>
      <charset val="129"/>
      <scheme val="minor"/>
    </font>
    <font>
      <sz val="11"/>
      <color theme="1"/>
      <name val="맑은 고딕"/>
      <family val="2"/>
      <scheme val="minor"/>
    </font>
    <font>
      <sz val="11"/>
      <color rgb="FFFF0000"/>
      <name val="맑은 고딕"/>
      <family val="2"/>
      <scheme val="minor"/>
    </font>
    <font>
      <b/>
      <sz val="18"/>
      <color theme="1"/>
      <name val="맑은 고딕"/>
      <family val="3"/>
      <charset val="129"/>
      <scheme val="minor"/>
    </font>
    <font>
      <sz val="8"/>
      <name val="바탕"/>
      <family val="1"/>
      <charset val="129"/>
    </font>
    <font>
      <b/>
      <sz val="12"/>
      <color theme="3"/>
      <name val="굴림"/>
      <family val="3"/>
      <charset val="129"/>
    </font>
    <font>
      <sz val="8"/>
      <name val="바탕체"/>
      <family val="1"/>
      <charset val="129"/>
    </font>
    <font>
      <b/>
      <sz val="11"/>
      <name val="굴림"/>
      <family val="3"/>
      <charset val="129"/>
    </font>
    <font>
      <sz val="12"/>
      <name val="바탕체"/>
      <family val="1"/>
      <charset val="129"/>
    </font>
    <font>
      <sz val="11"/>
      <name val="굴림"/>
      <family val="3"/>
      <charset val="129"/>
    </font>
    <font>
      <b/>
      <sz val="11"/>
      <color rgb="FF0000FF"/>
      <name val="굴림"/>
      <family val="3"/>
      <charset val="129"/>
    </font>
    <font>
      <b/>
      <sz val="11"/>
      <color indexed="12"/>
      <name val="굴림"/>
      <family val="3"/>
      <charset val="129"/>
    </font>
    <font>
      <b/>
      <sz val="10"/>
      <name val="굴림"/>
      <family val="3"/>
      <charset val="129"/>
    </font>
    <font>
      <b/>
      <sz val="20"/>
      <color theme="1"/>
      <name val="HY견고딕"/>
      <family val="1"/>
      <charset val="129"/>
    </font>
    <font>
      <b/>
      <i/>
      <sz val="11"/>
      <color theme="0" tint="-0.34998626667073579"/>
      <name val="굴림"/>
      <family val="3"/>
      <charset val="129"/>
    </font>
    <font>
      <i/>
      <sz val="11"/>
      <color theme="0" tint="-0.34998626667073579"/>
      <name val="굴림"/>
      <family val="3"/>
      <charset val="129"/>
    </font>
    <font>
      <b/>
      <sz val="20"/>
      <color rgb="FF0070C0"/>
      <name val="HY견고딕"/>
      <family val="1"/>
      <charset val="129"/>
    </font>
    <font>
      <b/>
      <sz val="11"/>
      <color rgb="FF0000FF"/>
      <name val="맑은 고딕"/>
      <family val="3"/>
      <charset val="129"/>
      <scheme val="minor"/>
    </font>
    <font>
      <b/>
      <sz val="14"/>
      <color theme="1"/>
      <name val="맑은 고딕"/>
      <family val="3"/>
      <charset val="129"/>
      <scheme val="minor"/>
    </font>
    <font>
      <i/>
      <sz val="10"/>
      <color theme="0" tint="-0.34998626667073579"/>
      <name val="맑은 고딕"/>
      <family val="3"/>
      <charset val="129"/>
      <scheme val="minor"/>
    </font>
    <font>
      <sz val="10"/>
      <color theme="1"/>
      <name val="맑은 고딕"/>
      <family val="2"/>
      <charset val="129"/>
      <scheme val="minor"/>
    </font>
    <font>
      <b/>
      <sz val="10"/>
      <color rgb="FF000000"/>
      <name val="한양중고딕"/>
      <family val="3"/>
      <charset val="129"/>
    </font>
    <font>
      <sz val="10"/>
      <color rgb="FF000000"/>
      <name val="한양중고딕"/>
      <family val="3"/>
      <charset val="129"/>
    </font>
    <font>
      <sz val="10"/>
      <color rgb="FF000000"/>
      <name val="맑은 고딕"/>
      <family val="3"/>
      <charset val="129"/>
      <scheme val="major"/>
    </font>
    <font>
      <b/>
      <sz val="18"/>
      <color theme="0"/>
      <name val="맑은 고딕"/>
      <family val="2"/>
      <charset val="129"/>
      <scheme val="minor"/>
    </font>
    <font>
      <b/>
      <sz val="10"/>
      <color theme="1"/>
      <name val="돋움"/>
      <family val="3"/>
      <charset val="129"/>
    </font>
    <font>
      <b/>
      <sz val="10"/>
      <color indexed="8"/>
      <name val="맑은 고딕"/>
      <family val="3"/>
      <charset val="129"/>
    </font>
    <font>
      <b/>
      <sz val="10"/>
      <color theme="1"/>
      <name val="맑은 고딕"/>
      <family val="3"/>
      <charset val="129"/>
      <scheme val="minor"/>
    </font>
    <font>
      <b/>
      <sz val="10"/>
      <color theme="1"/>
      <name val="Arial Narrow"/>
      <family val="2"/>
    </font>
    <font>
      <b/>
      <sz val="10"/>
      <color theme="1"/>
      <name val="맑은 고딕"/>
      <family val="3"/>
      <charset val="129"/>
    </font>
    <font>
      <b/>
      <sz val="11"/>
      <color rgb="FFFF0000"/>
      <name val="맑은 고딕"/>
      <family val="3"/>
      <charset val="129"/>
      <scheme val="minor"/>
    </font>
    <font>
      <i/>
      <sz val="11"/>
      <color theme="1"/>
      <name val="맑은 고딕"/>
      <family val="3"/>
      <charset val="129"/>
      <scheme val="minor"/>
    </font>
    <font>
      <b/>
      <sz val="26"/>
      <color theme="1"/>
      <name val="맑은 고딕"/>
      <family val="3"/>
      <charset val="129"/>
      <scheme val="minor"/>
    </font>
    <font>
      <b/>
      <sz val="10"/>
      <color rgb="FF000000"/>
      <name val="Arial Unicode MS"/>
      <family val="3"/>
      <charset val="129"/>
    </font>
    <font>
      <b/>
      <sz val="20"/>
      <name val="HY견고딕"/>
      <family val="1"/>
      <charset val="129"/>
    </font>
    <font>
      <sz val="10"/>
      <color theme="1"/>
      <name val="맑은 고딕"/>
      <family val="3"/>
      <charset val="129"/>
    </font>
    <font>
      <sz val="10"/>
      <color rgb="FF0070C0"/>
      <name val="맑은 고딕"/>
      <family val="3"/>
      <charset val="129"/>
      <scheme val="minor"/>
    </font>
    <font>
      <sz val="10"/>
      <color theme="1"/>
      <name val="맑은 고딕"/>
      <family val="3"/>
      <charset val="129"/>
      <scheme val="minor"/>
    </font>
    <font>
      <sz val="10"/>
      <color rgb="FF000000"/>
      <name val="맑은 고딕"/>
      <family val="3"/>
      <charset val="129"/>
      <scheme val="minor"/>
    </font>
    <font>
      <sz val="11"/>
      <color theme="1"/>
      <name val="굴림"/>
      <family val="3"/>
      <charset val="129"/>
    </font>
    <font>
      <b/>
      <sz val="11"/>
      <color theme="1"/>
      <name val="굴림"/>
      <family val="3"/>
      <charset val="129"/>
    </font>
    <font>
      <sz val="10"/>
      <color theme="1"/>
      <name val="맑은 고딕"/>
      <family val="2"/>
      <scheme val="minor"/>
    </font>
    <font>
      <sz val="10"/>
      <name val="맑은 고딕"/>
      <family val="2"/>
      <scheme val="minor"/>
    </font>
    <font>
      <sz val="10"/>
      <name val="맑은 고딕"/>
      <family val="3"/>
      <charset val="129"/>
      <scheme val="major"/>
    </font>
    <font>
      <sz val="10"/>
      <color rgb="FF000000"/>
      <name val="맑은 고딕"/>
      <family val="3"/>
      <charset val="129"/>
    </font>
    <font>
      <sz val="10"/>
      <color theme="1"/>
      <name val="맑은 고딕"/>
      <family val="2"/>
      <charset val="129"/>
    </font>
    <font>
      <sz val="10"/>
      <color rgb="FF000000"/>
      <name val="휴먼고딕"/>
      <charset val="129"/>
    </font>
    <font>
      <sz val="10"/>
      <color rgb="FF000000"/>
      <name val="맑은 고딕"/>
      <family val="2"/>
      <charset val="129"/>
      <scheme val="minor"/>
    </font>
    <font>
      <sz val="10"/>
      <color rgb="FF000000"/>
      <name val="맑은 고딕"/>
      <family val="2"/>
      <scheme val="minor"/>
    </font>
    <font>
      <sz val="10"/>
      <color rgb="FF000000"/>
      <name val="맑은 고딕"/>
      <family val="2"/>
      <charset val="129"/>
    </font>
    <font>
      <sz val="10"/>
      <color rgb="FF000000"/>
      <name val="Arial"/>
      <family val="3"/>
    </font>
    <font>
      <sz val="10"/>
      <color theme="1"/>
      <name val="맑은 고딕"/>
      <family val="3"/>
      <charset val="129"/>
      <scheme val="major"/>
    </font>
    <font>
      <sz val="10"/>
      <color rgb="FF000000"/>
      <name val="Malgun Gothic"/>
      <family val="3"/>
      <charset val="129"/>
    </font>
    <font>
      <sz val="10"/>
      <color rgb="FF000000"/>
      <name val="돋움"/>
      <family val="3"/>
      <charset val="129"/>
    </font>
    <font>
      <sz val="10"/>
      <color rgb="FF000000"/>
      <name val="Arial"/>
      <family val="2"/>
    </font>
    <font>
      <i/>
      <sz val="9"/>
      <color rgb="FF000000"/>
      <name val="맑은 고딕"/>
      <family val="3"/>
      <charset val="129"/>
      <scheme val="minor"/>
    </font>
    <font>
      <sz val="9"/>
      <name val="맑은 고딕"/>
      <family val="3"/>
      <charset val="129"/>
      <scheme val="minor"/>
    </font>
    <font>
      <sz val="10"/>
      <name val="맑은 고딕"/>
      <family val="3"/>
      <charset val="129"/>
      <scheme val="minor"/>
    </font>
    <font>
      <sz val="11"/>
      <color theme="3" tint="0.59999389629810485"/>
      <name val="맑은 고딕"/>
      <family val="2"/>
      <charset val="129"/>
      <scheme val="minor"/>
    </font>
    <font>
      <sz val="11"/>
      <color theme="1"/>
      <name val="맑은 고딕"/>
      <family val="3"/>
      <charset val="129"/>
      <scheme val="major"/>
    </font>
    <font>
      <b/>
      <sz val="11"/>
      <color theme="1"/>
      <name val="맑은 고딕"/>
      <family val="3"/>
      <charset val="129"/>
      <scheme val="major"/>
    </font>
    <font>
      <b/>
      <sz val="11"/>
      <color rgb="FF000000"/>
      <name val="맑은 고딕"/>
      <family val="3"/>
      <charset val="129"/>
      <scheme val="major"/>
    </font>
    <font>
      <b/>
      <sz val="11"/>
      <name val="맑은 고딕"/>
      <family val="3"/>
      <charset val="129"/>
      <scheme val="major"/>
    </font>
    <font>
      <i/>
      <sz val="11"/>
      <color theme="1"/>
      <name val="굴림"/>
      <family val="3"/>
      <charset val="129"/>
    </font>
    <font>
      <sz val="11"/>
      <color indexed="8"/>
      <name val="굴림"/>
      <family val="3"/>
      <charset val="129"/>
    </font>
    <font>
      <sz val="8"/>
      <name val="맑은 고딕"/>
      <family val="3"/>
      <charset val="129"/>
      <scheme val="minor"/>
    </font>
    <font>
      <i/>
      <sz val="11"/>
      <name val="굴림"/>
      <family val="3"/>
      <charset val="129"/>
    </font>
    <font>
      <b/>
      <sz val="11"/>
      <color theme="0" tint="-0.14999847407452621"/>
      <name val="굴림"/>
      <family val="3"/>
      <charset val="129"/>
    </font>
    <font>
      <sz val="11"/>
      <color theme="0" tint="-0.14999847407452621"/>
      <name val="굴림"/>
      <family val="3"/>
      <charset val="129"/>
    </font>
    <font>
      <sz val="11"/>
      <color rgb="FFFF0000"/>
      <name val="맑은 고딕"/>
      <family val="3"/>
      <charset val="129"/>
      <scheme val="minor"/>
    </font>
    <font>
      <sz val="12"/>
      <color theme="1"/>
      <name val="맑은 고딕"/>
      <family val="3"/>
      <charset val="129"/>
      <scheme val="minor"/>
    </font>
    <font>
      <sz val="12"/>
      <color theme="3" tint="0.59999389629810485"/>
      <name val="맑은 고딕"/>
      <family val="3"/>
      <charset val="129"/>
      <scheme val="minor"/>
    </font>
    <font>
      <sz val="12"/>
      <color rgb="FFFF0000"/>
      <name val="맑은 고딕"/>
      <family val="3"/>
      <charset val="129"/>
      <scheme val="minor"/>
    </font>
  </fonts>
  <fills count="19">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indexed="9"/>
        <bgColor indexed="64"/>
      </patternFill>
    </fill>
    <fill>
      <patternFill patternType="solid">
        <fgColor rgb="FFFFFFCC"/>
        <bgColor indexed="64"/>
      </patternFill>
    </fill>
    <fill>
      <patternFill patternType="solid">
        <fgColor theme="9" tint="0.79998168889431442"/>
        <bgColor indexed="64"/>
      </patternFill>
    </fill>
    <fill>
      <patternFill patternType="solid">
        <fgColor rgb="FFE5E5E5"/>
        <bgColor indexed="64"/>
      </patternFill>
    </fill>
    <fill>
      <patternFill patternType="solid">
        <fgColor rgb="FF09314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mediumGray">
        <fgColor theme="1"/>
      </patternFill>
    </fill>
    <fill>
      <patternFill patternType="mediumGray"/>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8F9FA"/>
        <bgColor rgb="FFF8F9FA"/>
      </patternFill>
    </fill>
    <fill>
      <patternFill patternType="solid">
        <fgColor rgb="FFFFFF00"/>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dotted">
        <color indexed="64"/>
      </left>
      <right style="dotted">
        <color indexed="64"/>
      </right>
      <top/>
      <bottom style="double">
        <color indexed="64"/>
      </bottom>
      <diagonal/>
    </border>
    <border>
      <left style="dotted">
        <color indexed="64"/>
      </left>
      <right style="dotted">
        <color indexed="64"/>
      </right>
      <top/>
      <bottom style="thin">
        <color rgb="FF000000"/>
      </bottom>
      <diagonal/>
    </border>
    <border>
      <left/>
      <right/>
      <top style="thin">
        <color rgb="FF000000"/>
      </top>
      <bottom style="thin">
        <color indexed="64"/>
      </bottom>
      <diagonal/>
    </border>
    <border>
      <left style="dotted">
        <color indexed="64"/>
      </left>
      <right style="thin">
        <color indexed="64"/>
      </right>
      <top/>
      <bottom style="thin">
        <color rgb="FF000000"/>
      </bottom>
      <diagonal/>
    </border>
    <border>
      <left/>
      <right style="thin">
        <color indexed="64"/>
      </right>
      <top/>
      <bottom style="thin">
        <color rgb="FF000000"/>
      </bottom>
      <diagonal/>
    </border>
    <border>
      <left/>
      <right style="thin">
        <color indexed="64"/>
      </right>
      <top style="thin">
        <color rgb="FF000000"/>
      </top>
      <bottom style="thin">
        <color indexed="64"/>
      </bottom>
      <diagonal/>
    </border>
    <border>
      <left style="medium">
        <color indexed="64"/>
      </left>
      <right style="thin">
        <color indexed="64"/>
      </right>
      <top style="thin">
        <color indexed="64"/>
      </top>
      <bottom/>
      <diagonal/>
    </border>
    <border diagonalUp="1">
      <left style="thin">
        <color indexed="64"/>
      </left>
      <right style="medium">
        <color indexed="64"/>
      </right>
      <top style="thin">
        <color indexed="64"/>
      </top>
      <bottom style="thin">
        <color indexed="64"/>
      </bottom>
      <diagonal style="thin">
        <color indexed="64"/>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6"/>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right style="dotted">
        <color indexed="64"/>
      </right>
      <top/>
      <bottom style="double">
        <color indexed="64"/>
      </bottom>
      <diagonal/>
    </border>
    <border>
      <left style="thin">
        <color indexed="64"/>
      </left>
      <right style="thin">
        <color indexed="64"/>
      </right>
      <top/>
      <bottom style="double">
        <color indexed="64"/>
      </bottom>
      <diagonal/>
    </border>
    <border>
      <left/>
      <right style="dotted">
        <color indexed="64"/>
      </right>
      <top/>
      <bottom style="thin">
        <color rgb="FF000000"/>
      </bottom>
      <diagonal/>
    </border>
    <border>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hair">
        <color indexed="64"/>
      </right>
      <top style="thin">
        <color indexed="64"/>
      </top>
      <bottom style="double">
        <color indexed="64"/>
      </bottom>
      <diagonal/>
    </border>
    <border>
      <left style="thin">
        <color indexed="64"/>
      </left>
      <right style="hair">
        <color indexed="64"/>
      </right>
      <top/>
      <bottom style="thin">
        <color rgb="FF000000"/>
      </bottom>
      <diagonal/>
    </border>
    <border>
      <left style="thin">
        <color indexed="64"/>
      </left>
      <right style="hair">
        <color indexed="64"/>
      </right>
      <top/>
      <bottom style="medium">
        <color indexed="64"/>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style="dotted">
        <color indexed="64"/>
      </left>
      <right style="thin">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bottom style="thin">
        <color rgb="FF000000"/>
      </bottom>
      <diagonal/>
    </border>
    <border>
      <left style="hair">
        <color indexed="64"/>
      </left>
      <right style="hair">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top style="thin">
        <color rgb="FF000000"/>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dotted">
        <color indexed="64"/>
      </left>
      <right/>
      <top/>
      <bottom style="double">
        <color indexed="64"/>
      </bottom>
      <diagonal/>
    </border>
    <border>
      <left style="dotted">
        <color indexed="64"/>
      </left>
      <right/>
      <top/>
      <bottom style="thin">
        <color rgb="FF000000"/>
      </bottom>
      <diagonal/>
    </border>
    <border>
      <left style="dotted">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diagonalUp="1">
      <left style="thin">
        <color indexed="64"/>
      </left>
      <right style="medium">
        <color indexed="64"/>
      </right>
      <top/>
      <bottom style="thin">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style="medium">
        <color indexed="64"/>
      </top>
      <bottom style="thin">
        <color indexed="64"/>
      </bottom>
      <diagonal/>
    </border>
    <border>
      <left style="thin">
        <color indexed="64"/>
      </left>
      <right/>
      <top style="thin">
        <color indexed="64"/>
      </top>
      <bottom/>
      <diagonal/>
    </border>
  </borders>
  <cellStyleXfs count="9">
    <xf numFmtId="0" fontId="0" fillId="0" borderId="0">
      <alignment vertical="center"/>
    </xf>
    <xf numFmtId="41" fontId="1" fillId="0" borderId="0" applyFont="0" applyFill="0" applyBorder="0" applyAlignment="0" applyProtection="0">
      <alignment vertical="center"/>
    </xf>
    <xf numFmtId="0" fontId="7" fillId="0" borderId="0"/>
    <xf numFmtId="9" fontId="1" fillId="0" borderId="0" applyFont="0" applyFill="0" applyBorder="0" applyAlignment="0" applyProtection="0">
      <alignment vertical="center"/>
    </xf>
    <xf numFmtId="42"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3" fillId="0" borderId="0">
      <alignment vertical="center"/>
    </xf>
    <xf numFmtId="178" fontId="14" fillId="0" borderId="0" applyFont="0" applyFill="0" applyBorder="0" applyAlignment="0" applyProtection="0"/>
  </cellStyleXfs>
  <cellXfs count="460">
    <xf numFmtId="0" fontId="0" fillId="0" borderId="0" xfId="0">
      <alignment vertical="center"/>
    </xf>
    <xf numFmtId="0" fontId="0" fillId="0" borderId="0" xfId="0" applyAlignment="1">
      <alignment vertical="center" shrinkToFit="1"/>
    </xf>
    <xf numFmtId="0" fontId="8" fillId="0" borderId="0" xfId="2" applyFont="1"/>
    <xf numFmtId="0" fontId="5" fillId="0" borderId="0" xfId="0" applyFont="1">
      <alignment vertical="center"/>
    </xf>
    <xf numFmtId="0" fontId="11" fillId="4" borderId="0" xfId="0" applyFont="1" applyFill="1" applyAlignment="1">
      <alignment horizontal="left" vertical="center"/>
    </xf>
    <xf numFmtId="3" fontId="16" fillId="5" borderId="1" xfId="0" applyNumberFormat="1" applyFont="1" applyFill="1" applyBorder="1">
      <alignment vertical="center"/>
    </xf>
    <xf numFmtId="0" fontId="18" fillId="0" borderId="0" xfId="0" applyFont="1" applyAlignment="1">
      <alignment vertical="center" wrapText="1"/>
    </xf>
    <xf numFmtId="177" fontId="15" fillId="0" borderId="0" xfId="3" applyNumberFormat="1" applyFont="1" applyFill="1" applyAlignment="1">
      <alignment horizontal="center" vertical="center"/>
    </xf>
    <xf numFmtId="0" fontId="21" fillId="0" borderId="1" xfId="0" applyFont="1" applyBorder="1" applyAlignment="1">
      <alignment horizontal="center" vertical="center"/>
    </xf>
    <xf numFmtId="41" fontId="21" fillId="0" borderId="1" xfId="1" applyFont="1" applyFill="1" applyBorder="1" applyAlignment="1">
      <alignment horizontal="center" vertical="center"/>
    </xf>
    <xf numFmtId="0" fontId="21" fillId="4" borderId="1" xfId="0" applyFont="1" applyFill="1" applyBorder="1" applyAlignment="1">
      <alignment horizontal="center" vertical="center"/>
    </xf>
    <xf numFmtId="41" fontId="21" fillId="0" borderId="1" xfId="0" applyNumberFormat="1" applyFont="1" applyBorder="1">
      <alignment vertical="center"/>
    </xf>
    <xf numFmtId="176" fontId="21" fillId="0" borderId="1" xfId="8" applyNumberFormat="1" applyFont="1" applyFill="1" applyBorder="1" applyAlignment="1">
      <alignment horizontal="center" vertical="center"/>
    </xf>
    <xf numFmtId="41" fontId="21" fillId="4" borderId="1" xfId="1" applyFont="1" applyFill="1" applyBorder="1" applyAlignment="1">
      <alignment horizontal="center" vertical="center"/>
    </xf>
    <xf numFmtId="179" fontId="21" fillId="4" borderId="1" xfId="0" applyNumberFormat="1" applyFont="1" applyFill="1" applyBorder="1" applyAlignment="1">
      <alignment horizontal="center" vertical="center"/>
    </xf>
    <xf numFmtId="177" fontId="16" fillId="5" borderId="21" xfId="3" applyNumberFormat="1" applyFont="1" applyFill="1" applyBorder="1" applyAlignment="1">
      <alignment horizontal="center" vertical="center"/>
    </xf>
    <xf numFmtId="42" fontId="13" fillId="2" borderId="1" xfId="4" applyFont="1" applyFill="1" applyBorder="1" applyAlignment="1">
      <alignment horizontal="center" vertical="center"/>
    </xf>
    <xf numFmtId="41" fontId="21" fillId="0" borderId="1" xfId="1" applyFont="1" applyFill="1" applyBorder="1" applyAlignment="1">
      <alignment vertical="center"/>
    </xf>
    <xf numFmtId="0" fontId="25" fillId="0" borderId="0" xfId="0" applyFont="1" applyProtection="1">
      <alignment vertical="center"/>
      <protection locked="0"/>
    </xf>
    <xf numFmtId="0" fontId="26" fillId="0" borderId="0" xfId="0" applyFont="1" applyProtection="1">
      <alignment vertical="center"/>
      <protection locked="0"/>
    </xf>
    <xf numFmtId="0" fontId="0" fillId="0" borderId="1" xfId="0" applyBorder="1">
      <alignment vertical="center"/>
    </xf>
    <xf numFmtId="0" fontId="0" fillId="0" borderId="1" xfId="0" applyBorder="1" applyAlignment="1">
      <alignment horizontal="center" vertical="center"/>
    </xf>
    <xf numFmtId="0" fontId="4" fillId="11" borderId="1" xfId="0" quotePrefix="1" applyFont="1" applyFill="1" applyBorder="1" applyAlignment="1">
      <alignment horizontal="center" vertical="center"/>
    </xf>
    <xf numFmtId="0" fontId="4" fillId="0" borderId="0" xfId="0" applyFont="1">
      <alignment vertical="center"/>
    </xf>
    <xf numFmtId="0" fontId="36" fillId="0" borderId="0" xfId="0" applyFont="1">
      <alignment vertical="center"/>
    </xf>
    <xf numFmtId="0" fontId="32" fillId="10" borderId="1" xfId="0" applyFont="1" applyFill="1" applyBorder="1" applyAlignment="1">
      <alignment horizontal="center" vertical="center" wrapText="1"/>
    </xf>
    <xf numFmtId="0" fontId="35" fillId="10" borderId="1" xfId="1" applyNumberFormat="1"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13" fillId="0" borderId="1" xfId="0" applyFont="1" applyBorder="1">
      <alignment vertical="center"/>
    </xf>
    <xf numFmtId="0" fontId="20" fillId="0" borderId="1" xfId="0" applyFont="1" applyBorder="1" applyAlignment="1">
      <alignment horizontal="center" vertical="center"/>
    </xf>
    <xf numFmtId="0" fontId="15" fillId="4" borderId="1" xfId="0" applyFont="1" applyFill="1" applyBorder="1">
      <alignment vertical="center"/>
    </xf>
    <xf numFmtId="0" fontId="20" fillId="4" borderId="1" xfId="0" applyFont="1" applyFill="1" applyBorder="1" applyAlignment="1">
      <alignment horizontal="center" vertical="center"/>
    </xf>
    <xf numFmtId="0" fontId="13" fillId="4" borderId="1" xfId="0" applyFont="1" applyFill="1" applyBorder="1">
      <alignment vertical="center"/>
    </xf>
    <xf numFmtId="177" fontId="4" fillId="0" borderId="1" xfId="3" applyNumberFormat="1" applyFont="1" applyBorder="1">
      <alignment vertical="center"/>
    </xf>
    <xf numFmtId="0" fontId="4" fillId="9" borderId="1" xfId="0" applyFont="1" applyFill="1" applyBorder="1" applyAlignment="1">
      <alignment horizontal="center" vertical="center"/>
    </xf>
    <xf numFmtId="0" fontId="0" fillId="0" borderId="32" xfId="0" applyBorder="1">
      <alignment vertical="center"/>
    </xf>
    <xf numFmtId="0" fontId="0" fillId="0" borderId="13" xfId="0" applyBorder="1">
      <alignment vertical="center"/>
    </xf>
    <xf numFmtId="0" fontId="0" fillId="0" borderId="33" xfId="0" applyBorder="1">
      <alignment vertical="center"/>
    </xf>
    <xf numFmtId="0" fontId="4" fillId="11" borderId="11" xfId="0" applyFont="1" applyFill="1" applyBorder="1" applyAlignment="1">
      <alignment horizontal="center" vertical="center"/>
    </xf>
    <xf numFmtId="0" fontId="4" fillId="11" borderId="8" xfId="0" applyFont="1" applyFill="1" applyBorder="1" applyAlignment="1">
      <alignment horizontal="center" vertical="center"/>
    </xf>
    <xf numFmtId="0" fontId="4" fillId="11" borderId="32" xfId="0" quotePrefix="1" applyFont="1" applyFill="1" applyBorder="1" applyAlignment="1">
      <alignment horizontal="center" vertical="center"/>
    </xf>
    <xf numFmtId="0" fontId="4" fillId="0" borderId="8" xfId="0" applyFont="1" applyBorder="1" applyAlignment="1">
      <alignment horizontal="center" vertical="center"/>
    </xf>
    <xf numFmtId="0" fontId="0" fillId="0" borderId="32" xfId="0" applyBorder="1" applyAlignment="1">
      <alignment horizontal="center" vertical="center"/>
    </xf>
    <xf numFmtId="0" fontId="4" fillId="0" borderId="9" xfId="0" applyFont="1" applyBorder="1" applyAlignment="1">
      <alignment horizontal="center" vertical="center"/>
    </xf>
    <xf numFmtId="0" fontId="0" fillId="0" borderId="33" xfId="0" applyBorder="1" applyAlignment="1">
      <alignment horizontal="center" vertical="center"/>
    </xf>
    <xf numFmtId="3" fontId="16" fillId="2" borderId="1" xfId="0" applyNumberFormat="1" applyFont="1" applyFill="1" applyBorder="1">
      <alignment vertical="center"/>
    </xf>
    <xf numFmtId="177" fontId="16" fillId="2" borderId="21" xfId="3" applyNumberFormat="1" applyFont="1" applyFill="1" applyBorder="1" applyAlignment="1">
      <alignment horizontal="center" vertical="center"/>
    </xf>
    <xf numFmtId="0" fontId="4" fillId="9" borderId="11" xfId="0" applyFont="1" applyFill="1" applyBorder="1" applyAlignment="1">
      <alignment horizontal="center" vertical="center"/>
    </xf>
    <xf numFmtId="0" fontId="4" fillId="9" borderId="12" xfId="0" applyFont="1" applyFill="1" applyBorder="1" applyAlignment="1">
      <alignment horizontal="center" vertical="center"/>
    </xf>
    <xf numFmtId="0" fontId="4" fillId="9" borderId="31" xfId="0" applyFont="1" applyFill="1" applyBorder="1" applyAlignment="1">
      <alignment horizontal="center" vertical="center"/>
    </xf>
    <xf numFmtId="0" fontId="37" fillId="0" borderId="1" xfId="0" applyFont="1" applyBorder="1" applyAlignment="1">
      <alignment horizontal="right" vertical="center"/>
    </xf>
    <xf numFmtId="3" fontId="16" fillId="2" borderId="4" xfId="0" applyNumberFormat="1" applyFont="1" applyFill="1" applyBorder="1">
      <alignment vertical="center"/>
    </xf>
    <xf numFmtId="0" fontId="13" fillId="0" borderId="1" xfId="0" applyFont="1" applyBorder="1" applyAlignment="1">
      <alignment vertical="center" wrapText="1"/>
    </xf>
    <xf numFmtId="0" fontId="13" fillId="4" borderId="1" xfId="0" applyFont="1" applyFill="1" applyBorder="1" applyAlignment="1">
      <alignment vertical="center" wrapText="1"/>
    </xf>
    <xf numFmtId="0" fontId="43" fillId="0" borderId="1" xfId="0" applyFont="1" applyBorder="1" applyAlignment="1">
      <alignment horizontal="center" vertical="center" shrinkToFit="1"/>
    </xf>
    <xf numFmtId="0" fontId="42" fillId="0" borderId="1" xfId="0" applyFont="1" applyBorder="1" applyAlignment="1">
      <alignment horizontal="center" vertical="center" wrapText="1" shrinkToFit="1"/>
    </xf>
    <xf numFmtId="0" fontId="43" fillId="0" borderId="1" xfId="0" applyFont="1" applyBorder="1" applyAlignment="1">
      <alignment horizontal="center" vertical="center" wrapText="1" shrinkToFit="1"/>
    </xf>
    <xf numFmtId="0" fontId="44" fillId="0" borderId="1" xfId="0" applyFont="1" applyBorder="1" applyAlignment="1">
      <alignment horizontal="center" vertical="center" shrinkToFit="1"/>
    </xf>
    <xf numFmtId="0" fontId="41" fillId="0" borderId="1" xfId="0" applyFont="1" applyBorder="1" applyAlignment="1">
      <alignment horizontal="center" vertical="center"/>
    </xf>
    <xf numFmtId="0" fontId="13" fillId="4" borderId="1" xfId="0" applyFont="1" applyFill="1" applyBorder="1" applyAlignment="1">
      <alignment horizontal="center" vertical="center"/>
    </xf>
    <xf numFmtId="176" fontId="15" fillId="0" borderId="1" xfId="8" applyNumberFormat="1" applyFont="1" applyFill="1" applyBorder="1" applyAlignment="1">
      <alignment horizontal="center" vertical="center"/>
    </xf>
    <xf numFmtId="176" fontId="15" fillId="0" borderId="1" xfId="8" applyNumberFormat="1" applyFont="1" applyFill="1" applyBorder="1" applyAlignment="1">
      <alignment horizontal="center" vertical="center" wrapText="1"/>
    </xf>
    <xf numFmtId="0" fontId="45" fillId="0" borderId="1" xfId="0" applyFont="1" applyBorder="1" applyAlignment="1">
      <alignment horizontal="center" vertical="center"/>
    </xf>
    <xf numFmtId="41" fontId="45" fillId="0" borderId="1" xfId="1" applyFont="1" applyFill="1" applyBorder="1" applyAlignment="1">
      <alignment horizontal="center" vertical="center"/>
    </xf>
    <xf numFmtId="0" fontId="45" fillId="4" borderId="1" xfId="0" applyFont="1" applyFill="1" applyBorder="1" applyAlignment="1">
      <alignment horizontal="center" vertical="center"/>
    </xf>
    <xf numFmtId="41" fontId="45" fillId="0" borderId="1" xfId="0" applyNumberFormat="1" applyFont="1" applyBorder="1">
      <alignment vertical="center"/>
    </xf>
    <xf numFmtId="176" fontId="45" fillId="0" borderId="1" xfId="8" applyNumberFormat="1" applyFont="1" applyFill="1" applyBorder="1" applyAlignment="1">
      <alignment horizontal="center" vertical="center"/>
    </xf>
    <xf numFmtId="41" fontId="45" fillId="4" borderId="1" xfId="1" applyFont="1" applyFill="1" applyBorder="1" applyAlignment="1">
      <alignment horizontal="center" vertical="center"/>
    </xf>
    <xf numFmtId="179" fontId="45" fillId="4" borderId="1" xfId="0" applyNumberFormat="1" applyFont="1" applyFill="1" applyBorder="1" applyAlignment="1">
      <alignment horizontal="center" vertical="center"/>
    </xf>
    <xf numFmtId="176" fontId="45" fillId="0" borderId="1" xfId="8" applyNumberFormat="1" applyFont="1" applyFill="1" applyBorder="1" applyAlignment="1">
      <alignment horizontal="center" vertical="center" wrapText="1"/>
    </xf>
    <xf numFmtId="3" fontId="45" fillId="4" borderId="1" xfId="0" applyNumberFormat="1" applyFont="1" applyFill="1" applyBorder="1" applyAlignment="1">
      <alignment horizontal="center" vertical="center"/>
    </xf>
    <xf numFmtId="180" fontId="45" fillId="4" borderId="1" xfId="1" applyNumberFormat="1" applyFont="1" applyFill="1" applyBorder="1" applyAlignment="1">
      <alignment horizontal="center" vertical="center"/>
    </xf>
    <xf numFmtId="181" fontId="45" fillId="4" borderId="1" xfId="1" applyNumberFormat="1" applyFont="1" applyFill="1" applyBorder="1" applyAlignment="1">
      <alignment horizontal="center" vertical="center"/>
    </xf>
    <xf numFmtId="182" fontId="45" fillId="0" borderId="1" xfId="0" applyNumberFormat="1" applyFont="1" applyBorder="1">
      <alignment vertical="center"/>
    </xf>
    <xf numFmtId="41" fontId="45" fillId="0" borderId="1" xfId="1" applyFont="1" applyBorder="1" applyAlignment="1">
      <alignment horizontal="center" vertical="center"/>
    </xf>
    <xf numFmtId="41" fontId="45" fillId="0" borderId="1" xfId="1" applyFont="1" applyBorder="1">
      <alignment vertical="center"/>
    </xf>
    <xf numFmtId="41" fontId="45" fillId="0" borderId="1" xfId="1" applyFont="1" applyFill="1" applyBorder="1" applyAlignment="1">
      <alignment vertical="center"/>
    </xf>
    <xf numFmtId="41" fontId="46" fillId="5" borderId="1" xfId="0" applyNumberFormat="1" applyFont="1" applyFill="1" applyBorder="1">
      <alignment vertical="center"/>
    </xf>
    <xf numFmtId="41" fontId="0" fillId="0" borderId="0" xfId="1" applyFont="1">
      <alignment vertical="center"/>
    </xf>
    <xf numFmtId="41" fontId="0" fillId="0" borderId="0" xfId="0" applyNumberFormat="1">
      <alignment vertical="center"/>
    </xf>
    <xf numFmtId="0" fontId="47" fillId="0" borderId="1" xfId="0" applyFont="1" applyBorder="1" applyAlignment="1" applyProtection="1">
      <alignment horizontal="center" vertical="center" wrapText="1" shrinkToFit="1"/>
      <protection locked="0"/>
    </xf>
    <xf numFmtId="0" fontId="47" fillId="0" borderId="1" xfId="7" applyFont="1" applyBorder="1" applyAlignment="1">
      <alignment horizontal="center" vertical="center" wrapText="1" shrinkToFit="1"/>
    </xf>
    <xf numFmtId="0" fontId="47" fillId="0" borderId="1" xfId="0" applyFont="1" applyBorder="1" applyAlignment="1">
      <alignment horizontal="center" vertical="center" wrapText="1"/>
    </xf>
    <xf numFmtId="0" fontId="47" fillId="0" borderId="1" xfId="1" applyNumberFormat="1" applyFont="1" applyFill="1" applyBorder="1" applyAlignment="1">
      <alignment horizontal="center" vertical="center" wrapText="1" shrinkToFit="1"/>
    </xf>
    <xf numFmtId="0" fontId="47" fillId="0" borderId="1" xfId="1" applyNumberFormat="1" applyFont="1" applyFill="1" applyBorder="1" applyAlignment="1">
      <alignment horizontal="center" vertical="center" wrapText="1"/>
    </xf>
    <xf numFmtId="0" fontId="47" fillId="0" borderId="1" xfId="1" quotePrefix="1" applyNumberFormat="1" applyFont="1" applyFill="1" applyBorder="1" applyAlignment="1">
      <alignment horizontal="center" vertical="center" wrapText="1"/>
    </xf>
    <xf numFmtId="41" fontId="47" fillId="0" borderId="1" xfId="1" quotePrefix="1" applyFont="1" applyFill="1" applyBorder="1" applyAlignment="1">
      <alignment horizontal="center" vertical="center" wrapText="1"/>
    </xf>
    <xf numFmtId="0" fontId="47" fillId="0" borderId="1" xfId="0" applyFont="1" applyBorder="1" applyAlignment="1">
      <alignment horizontal="center" vertical="center" wrapText="1" shrinkToFit="1"/>
    </xf>
    <xf numFmtId="0" fontId="48" fillId="0" borderId="1" xfId="0" applyFont="1" applyBorder="1" applyAlignment="1" applyProtection="1">
      <alignment horizontal="center" vertical="center" wrapText="1" shrinkToFit="1"/>
      <protection locked="0"/>
    </xf>
    <xf numFmtId="1" fontId="0" fillId="0" borderId="0" xfId="0" applyNumberFormat="1">
      <alignment vertical="center"/>
    </xf>
    <xf numFmtId="0" fontId="4" fillId="0" borderId="0" xfId="0" applyFont="1" applyAlignment="1">
      <alignment horizontal="center" vertical="center"/>
    </xf>
    <xf numFmtId="1" fontId="4" fillId="11" borderId="1" xfId="0" quotePrefix="1" applyNumberFormat="1" applyFont="1" applyFill="1" applyBorder="1" applyAlignment="1">
      <alignment horizontal="center" vertical="center"/>
    </xf>
    <xf numFmtId="0" fontId="4" fillId="0" borderId="0" xfId="0" quotePrefix="1" applyFont="1" applyAlignment="1">
      <alignment horizontal="center" vertical="center"/>
    </xf>
    <xf numFmtId="0" fontId="0" fillId="0" borderId="1" xfId="0" quotePrefix="1" applyBorder="1" applyAlignment="1">
      <alignment horizontal="left" vertical="center" wrapText="1"/>
    </xf>
    <xf numFmtId="41" fontId="0" fillId="0" borderId="1" xfId="1" applyFont="1" applyBorder="1" applyAlignment="1">
      <alignment horizontal="center" vertical="center" wrapText="1"/>
    </xf>
    <xf numFmtId="1" fontId="0" fillId="0" borderId="1" xfId="1" applyNumberFormat="1" applyFont="1" applyBorder="1" applyAlignment="1">
      <alignment horizontal="center" vertical="center" wrapText="1"/>
    </xf>
    <xf numFmtId="41" fontId="0" fillId="0" borderId="32" xfId="1" applyFont="1" applyBorder="1" applyAlignment="1">
      <alignment horizontal="center" vertical="center" wrapText="1"/>
    </xf>
    <xf numFmtId="0" fontId="0" fillId="0" borderId="0" xfId="0" applyAlignment="1">
      <alignment horizontal="center" vertical="center"/>
    </xf>
    <xf numFmtId="41" fontId="0" fillId="0" borderId="13" xfId="1" applyFont="1" applyBorder="1" applyAlignment="1">
      <alignment horizontal="center" vertical="center" wrapText="1"/>
    </xf>
    <xf numFmtId="0" fontId="0" fillId="0" borderId="13" xfId="0" quotePrefix="1" applyBorder="1" applyAlignment="1">
      <alignment horizontal="left" vertical="center" wrapText="1"/>
    </xf>
    <xf numFmtId="1" fontId="0" fillId="0" borderId="13" xfId="1" applyNumberFormat="1" applyFont="1" applyBorder="1" applyAlignment="1">
      <alignment horizontal="center" vertical="center" wrapText="1"/>
    </xf>
    <xf numFmtId="41" fontId="0" fillId="0" borderId="33" xfId="1" applyFont="1" applyBorder="1" applyAlignment="1">
      <alignment horizontal="center" vertical="center" wrapText="1"/>
    </xf>
    <xf numFmtId="0" fontId="4" fillId="0" borderId="0" xfId="0" applyFont="1" applyAlignment="1">
      <alignment horizontal="left" vertical="center"/>
    </xf>
    <xf numFmtId="1" fontId="26" fillId="0" borderId="0" xfId="0" applyNumberFormat="1" applyFont="1" applyProtection="1">
      <alignment vertical="center"/>
      <protection locked="0"/>
    </xf>
    <xf numFmtId="0" fontId="27" fillId="7" borderId="2" xfId="0" applyFont="1" applyFill="1" applyBorder="1" applyAlignment="1" applyProtection="1">
      <alignment horizontal="center" vertical="center" wrapText="1"/>
      <protection locked="0"/>
    </xf>
    <xf numFmtId="0" fontId="49" fillId="0" borderId="11" xfId="0" applyFont="1" applyBorder="1" applyAlignment="1" applyProtection="1">
      <alignment horizontal="center" vertical="center"/>
      <protection locked="0"/>
    </xf>
    <xf numFmtId="0" fontId="47" fillId="0" borderId="12" xfId="0" applyFont="1" applyBorder="1" applyAlignment="1">
      <alignment horizontal="center"/>
    </xf>
    <xf numFmtId="0" fontId="50" fillId="0" borderId="12" xfId="0" applyFont="1" applyBorder="1" applyAlignment="1">
      <alignment horizontal="center" vertical="center"/>
    </xf>
    <xf numFmtId="1" fontId="47" fillId="0" borderId="12" xfId="0" applyNumberFormat="1" applyFont="1" applyBorder="1" applyAlignment="1">
      <alignment horizontal="center"/>
    </xf>
    <xf numFmtId="0" fontId="43" fillId="0" borderId="12" xfId="0" applyFont="1" applyBorder="1" applyAlignment="1">
      <alignment horizontal="center"/>
    </xf>
    <xf numFmtId="0" fontId="26" fillId="0" borderId="12" xfId="0" applyFont="1" applyBorder="1" applyAlignment="1" applyProtection="1">
      <alignment horizontal="center" vertical="center"/>
      <protection locked="0"/>
    </xf>
    <xf numFmtId="0" fontId="0" fillId="0" borderId="31" xfId="0" applyBorder="1" applyAlignment="1">
      <alignment horizontal="center" vertical="center"/>
    </xf>
    <xf numFmtId="0" fontId="49" fillId="0" borderId="8" xfId="0" applyFont="1" applyBorder="1" applyAlignment="1" applyProtection="1">
      <alignment horizontal="center" vertical="center"/>
      <protection locked="0"/>
    </xf>
    <xf numFmtId="0" fontId="47" fillId="0" borderId="1" xfId="0" applyFont="1" applyBorder="1" applyAlignment="1">
      <alignment horizontal="center"/>
    </xf>
    <xf numFmtId="0" fontId="50" fillId="0" borderId="1" xfId="0" applyFont="1" applyBorder="1" applyAlignment="1">
      <alignment horizontal="center" vertical="center"/>
    </xf>
    <xf numFmtId="1" fontId="47" fillId="0" borderId="1" xfId="0" applyNumberFormat="1" applyFont="1" applyBorder="1" applyAlignment="1">
      <alignment horizontal="center"/>
    </xf>
    <xf numFmtId="0" fontId="43" fillId="0" borderId="1" xfId="0" applyFont="1" applyBorder="1" applyAlignment="1">
      <alignment horizontal="center"/>
    </xf>
    <xf numFmtId="0" fontId="26" fillId="0" borderId="1" xfId="0" applyFont="1" applyBorder="1" applyAlignment="1" applyProtection="1">
      <alignment horizontal="center" vertical="center"/>
      <protection locked="0"/>
    </xf>
    <xf numFmtId="0" fontId="47" fillId="0" borderId="1" xfId="0" quotePrefix="1" applyFont="1" applyBorder="1" applyAlignment="1">
      <alignment horizontal="center"/>
    </xf>
    <xf numFmtId="0" fontId="41" fillId="0" borderId="1" xfId="0" applyFont="1" applyBorder="1" applyAlignment="1">
      <alignment horizontal="center"/>
    </xf>
    <xf numFmtId="0" fontId="51" fillId="0" borderId="1" xfId="0" applyFont="1" applyBorder="1" applyAlignment="1">
      <alignment horizontal="center"/>
    </xf>
    <xf numFmtId="0" fontId="52" fillId="0" borderId="1" xfId="0" applyFont="1" applyBorder="1" applyAlignment="1">
      <alignment horizontal="center" vertical="center"/>
    </xf>
    <xf numFmtId="0" fontId="44" fillId="0" borderId="1" xfId="0" applyFont="1" applyBorder="1" applyAlignment="1">
      <alignment horizontal="center"/>
    </xf>
    <xf numFmtId="0" fontId="54" fillId="0" borderId="1" xfId="0" applyFont="1" applyBorder="1" applyAlignment="1">
      <alignment horizontal="center"/>
    </xf>
    <xf numFmtId="1" fontId="54" fillId="0" borderId="1" xfId="0" applyNumberFormat="1" applyFont="1" applyBorder="1" applyAlignment="1">
      <alignment horizontal="center"/>
    </xf>
    <xf numFmtId="0" fontId="57" fillId="0" borderId="1" xfId="0" applyFont="1" applyBorder="1" applyAlignment="1" applyProtection="1">
      <alignment horizontal="center" vertical="center"/>
      <protection locked="0"/>
    </xf>
    <xf numFmtId="0" fontId="49" fillId="0" borderId="1" xfId="0" applyFont="1" applyBorder="1" applyAlignment="1" applyProtection="1">
      <alignment horizontal="center" vertical="center"/>
      <protection locked="0"/>
    </xf>
    <xf numFmtId="1" fontId="49" fillId="0" borderId="1" xfId="0" applyNumberFormat="1" applyFont="1" applyBorder="1" applyAlignment="1" applyProtection="1">
      <alignment horizontal="center" vertical="center"/>
      <protection locked="0"/>
    </xf>
    <xf numFmtId="1" fontId="57" fillId="0" borderId="1" xfId="0" applyNumberFormat="1" applyFont="1" applyBorder="1" applyAlignment="1" applyProtection="1">
      <alignment horizontal="center" vertical="center"/>
      <protection locked="0"/>
    </xf>
    <xf numFmtId="1" fontId="57" fillId="0" borderId="1" xfId="0" quotePrefix="1" applyNumberFormat="1" applyFont="1" applyBorder="1" applyAlignment="1" applyProtection="1">
      <alignment horizontal="center" vertical="center"/>
      <protection locked="0"/>
    </xf>
    <xf numFmtId="0" fontId="57" fillId="0" borderId="1" xfId="0" applyFont="1" applyBorder="1" applyAlignment="1">
      <alignment horizontal="center" vertical="center"/>
    </xf>
    <xf numFmtId="1" fontId="57" fillId="0" borderId="1" xfId="0" applyNumberFormat="1" applyFont="1" applyBorder="1" applyAlignment="1">
      <alignment horizontal="center" vertical="center"/>
    </xf>
    <xf numFmtId="0" fontId="57" fillId="0" borderId="1" xfId="0" quotePrefix="1" applyFont="1" applyBorder="1" applyAlignment="1">
      <alignment horizontal="center" vertical="center"/>
    </xf>
    <xf numFmtId="0" fontId="58" fillId="0" borderId="1" xfId="0" applyFont="1" applyBorder="1" applyAlignment="1">
      <alignment horizontal="center" vertical="center"/>
    </xf>
    <xf numFmtId="1" fontId="58" fillId="0" borderId="1" xfId="0" applyNumberFormat="1" applyFont="1" applyBorder="1" applyAlignment="1">
      <alignment horizontal="center" vertical="center"/>
    </xf>
    <xf numFmtId="0" fontId="58" fillId="0" borderId="1" xfId="0" quotePrefix="1" applyFont="1" applyBorder="1" applyAlignment="1">
      <alignment horizontal="center" vertical="center"/>
    </xf>
    <xf numFmtId="0" fontId="29" fillId="14" borderId="1" xfId="0" applyFont="1" applyFill="1" applyBorder="1" applyAlignment="1" applyProtection="1">
      <alignment horizontal="center" vertical="center"/>
      <protection locked="0"/>
    </xf>
    <xf numFmtId="1" fontId="29" fillId="14" borderId="1" xfId="0" applyNumberFormat="1" applyFont="1" applyFill="1" applyBorder="1" applyAlignment="1" applyProtection="1">
      <alignment horizontal="center" vertical="center"/>
      <protection locked="0"/>
    </xf>
    <xf numFmtId="0" fontId="57" fillId="14" borderId="1" xfId="0" applyFont="1" applyFill="1" applyBorder="1" applyAlignment="1" applyProtection="1">
      <alignment horizontal="center" vertical="center"/>
      <protection locked="0"/>
    </xf>
    <xf numFmtId="0" fontId="43" fillId="0" borderId="1" xfId="0" applyFont="1" applyBorder="1" applyAlignment="1">
      <alignment horizontal="center" vertical="center"/>
    </xf>
    <xf numFmtId="0" fontId="29" fillId="0" borderId="1" xfId="0" applyFont="1" applyBorder="1" applyAlignment="1">
      <alignment horizontal="center" vertical="center"/>
    </xf>
    <xf numFmtId="1" fontId="29" fillId="0" borderId="1" xfId="0" applyNumberFormat="1" applyFont="1" applyBorder="1" applyAlignment="1">
      <alignment horizontal="center" vertical="center"/>
    </xf>
    <xf numFmtId="0" fontId="59" fillId="0" borderId="1" xfId="0" applyFont="1" applyBorder="1" applyAlignment="1">
      <alignment horizontal="center" vertical="center"/>
    </xf>
    <xf numFmtId="0" fontId="60" fillId="0" borderId="1" xfId="0" applyFont="1" applyBorder="1" applyAlignment="1">
      <alignment horizontal="center" vertical="center"/>
    </xf>
    <xf numFmtId="1" fontId="60" fillId="0" borderId="1" xfId="0" applyNumberFormat="1" applyFont="1" applyBorder="1" applyAlignment="1">
      <alignment horizontal="center" vertical="center"/>
    </xf>
    <xf numFmtId="0" fontId="47" fillId="0" borderId="1" xfId="0" applyFont="1" applyBorder="1" applyAlignment="1">
      <alignment horizontal="center" vertical="center"/>
    </xf>
    <xf numFmtId="1" fontId="47" fillId="0" borderId="1" xfId="0" applyNumberFormat="1" applyFont="1" applyBorder="1" applyAlignment="1">
      <alignment horizontal="center" vertical="center"/>
    </xf>
    <xf numFmtId="0" fontId="47" fillId="0" borderId="1" xfId="0" quotePrefix="1" applyFont="1" applyBorder="1" applyAlignment="1">
      <alignment horizontal="center" vertical="center"/>
    </xf>
    <xf numFmtId="0" fontId="57" fillId="0" borderId="1" xfId="0" quotePrefix="1" applyFont="1" applyBorder="1" applyAlignment="1" applyProtection="1">
      <alignment horizontal="center" vertical="center"/>
      <protection locked="0"/>
    </xf>
    <xf numFmtId="0" fontId="58" fillId="15" borderId="1" xfId="0" applyFont="1" applyFill="1" applyBorder="1" applyAlignment="1">
      <alignment horizontal="center" vertical="center"/>
    </xf>
    <xf numFmtId="0" fontId="58" fillId="15" borderId="1" xfId="0" quotePrefix="1" applyFont="1" applyFill="1" applyBorder="1" applyAlignment="1">
      <alignment horizontal="center" vertical="center"/>
    </xf>
    <xf numFmtId="1" fontId="58" fillId="15" borderId="1" xfId="0" applyNumberFormat="1" applyFont="1" applyFill="1" applyBorder="1" applyAlignment="1">
      <alignment horizontal="center" vertical="center"/>
    </xf>
    <xf numFmtId="0" fontId="29" fillId="0" borderId="1" xfId="0" applyFont="1" applyBorder="1" applyAlignment="1" applyProtection="1">
      <alignment horizontal="center" vertical="center"/>
      <protection locked="0"/>
    </xf>
    <xf numFmtId="1" fontId="29" fillId="0" borderId="1" xfId="0" applyNumberFormat="1" applyFont="1" applyBorder="1" applyAlignment="1" applyProtection="1">
      <alignment horizontal="center" vertical="center"/>
      <protection locked="0"/>
    </xf>
    <xf numFmtId="0" fontId="29" fillId="0" borderId="1" xfId="0" quotePrefix="1" applyFont="1" applyBorder="1" applyAlignment="1">
      <alignment horizontal="center" vertical="center"/>
    </xf>
    <xf numFmtId="0" fontId="43" fillId="0" borderId="1" xfId="0" quotePrefix="1" applyFont="1" applyBorder="1" applyAlignment="1">
      <alignment horizontal="center" vertical="center"/>
    </xf>
    <xf numFmtId="0" fontId="58" fillId="16" borderId="1" xfId="0" applyFont="1" applyFill="1" applyBorder="1" applyAlignment="1">
      <alignment horizontal="center" vertical="center"/>
    </xf>
    <xf numFmtId="1" fontId="58" fillId="16" borderId="1" xfId="0" applyNumberFormat="1" applyFont="1" applyFill="1" applyBorder="1" applyAlignment="1">
      <alignment horizontal="center" vertical="center"/>
    </xf>
    <xf numFmtId="0" fontId="0" fillId="0" borderId="1" xfId="0" applyBorder="1" applyAlignment="1">
      <alignment horizontal="center"/>
    </xf>
    <xf numFmtId="0" fontId="47" fillId="17" borderId="1" xfId="0" applyFont="1" applyFill="1" applyBorder="1" applyAlignment="1">
      <alignment horizontal="center" vertical="center"/>
    </xf>
    <xf numFmtId="0" fontId="0" fillId="0" borderId="1" xfId="0" quotePrefix="1" applyBorder="1" applyAlignment="1">
      <alignment horizontal="center"/>
    </xf>
    <xf numFmtId="0" fontId="47" fillId="16" borderId="1" xfId="0" applyFont="1" applyFill="1" applyBorder="1" applyAlignment="1">
      <alignment horizontal="center" vertical="center"/>
    </xf>
    <xf numFmtId="0" fontId="0" fillId="0" borderId="1" xfId="0" quotePrefix="1" applyBorder="1" applyAlignment="1">
      <alignment horizontal="center" vertical="center"/>
    </xf>
    <xf numFmtId="0" fontId="49" fillId="0" borderId="9" xfId="0" applyFont="1" applyBorder="1" applyAlignment="1" applyProtection="1">
      <alignment horizontal="center" vertical="center"/>
      <protection locked="0"/>
    </xf>
    <xf numFmtId="0" fontId="47" fillId="0" borderId="13" xfId="0" applyFont="1" applyBorder="1" applyAlignment="1">
      <alignment horizontal="center" vertical="center"/>
    </xf>
    <xf numFmtId="0" fontId="50" fillId="0" borderId="13" xfId="0" applyFont="1" applyBorder="1" applyAlignment="1">
      <alignment horizontal="center" vertical="center"/>
    </xf>
    <xf numFmtId="0" fontId="0" fillId="0" borderId="13" xfId="0" applyBorder="1" applyAlignment="1">
      <alignment horizontal="center"/>
    </xf>
    <xf numFmtId="1" fontId="49" fillId="0" borderId="13" xfId="0" applyNumberFormat="1" applyFont="1" applyBorder="1" applyAlignment="1" applyProtection="1">
      <alignment horizontal="center" vertical="center"/>
      <protection locked="0"/>
    </xf>
    <xf numFmtId="0" fontId="54" fillId="0" borderId="13" xfId="0" applyFont="1" applyBorder="1" applyAlignment="1">
      <alignment horizontal="center"/>
    </xf>
    <xf numFmtId="0" fontId="49" fillId="0" borderId="13" xfId="0" applyFont="1" applyBorder="1" applyAlignment="1" applyProtection="1">
      <alignment horizontal="center" vertical="center"/>
      <protection locked="0"/>
    </xf>
    <xf numFmtId="0" fontId="0" fillId="0" borderId="13" xfId="0" quotePrefix="1" applyBorder="1" applyAlignment="1">
      <alignment horizontal="center" vertical="center"/>
    </xf>
    <xf numFmtId="0" fontId="26" fillId="0" borderId="13" xfId="0" applyFont="1" applyBorder="1" applyAlignment="1" applyProtection="1">
      <alignment horizontal="center" vertical="center"/>
      <protection locked="0"/>
    </xf>
    <xf numFmtId="1" fontId="4" fillId="9" borderId="12" xfId="0" applyNumberFormat="1" applyFont="1" applyFill="1" applyBorder="1" applyAlignment="1">
      <alignment horizontal="center" vertical="center"/>
    </xf>
    <xf numFmtId="1" fontId="0" fillId="0" borderId="1" xfId="0" applyNumberFormat="1" applyBorder="1" applyAlignment="1">
      <alignment horizontal="center" vertical="center"/>
    </xf>
    <xf numFmtId="1" fontId="0" fillId="0" borderId="13" xfId="0" applyNumberFormat="1" applyBorder="1">
      <alignment vertical="center"/>
    </xf>
    <xf numFmtId="0" fontId="63" fillId="0" borderId="1" xfId="0" applyFont="1" applyBorder="1" applyAlignment="1" applyProtection="1">
      <alignment horizontal="center" vertical="center" wrapText="1" shrinkToFit="1"/>
      <protection locked="0"/>
    </xf>
    <xf numFmtId="0" fontId="62" fillId="0" borderId="1" xfId="0" applyFont="1" applyBorder="1" applyAlignment="1">
      <alignment horizontal="center" vertical="center"/>
    </xf>
    <xf numFmtId="0" fontId="61" fillId="0" borderId="1" xfId="0" applyFont="1" applyBorder="1" applyAlignment="1">
      <alignment horizontal="center" vertical="center"/>
    </xf>
    <xf numFmtId="0" fontId="61" fillId="0" borderId="1" xfId="0" applyFont="1" applyBorder="1" applyAlignment="1">
      <alignment horizontal="center" vertical="center" wrapText="1"/>
    </xf>
    <xf numFmtId="41" fontId="45" fillId="14" borderId="1" xfId="0" applyNumberFormat="1" applyFont="1" applyFill="1" applyBorder="1">
      <alignment vertical="center"/>
    </xf>
    <xf numFmtId="42" fontId="13" fillId="2" borderId="1" xfId="4" applyFont="1" applyFill="1" applyBorder="1" applyAlignment="1">
      <alignment horizontal="right" vertical="center"/>
    </xf>
    <xf numFmtId="41" fontId="45" fillId="4" borderId="1" xfId="1" applyFont="1" applyFill="1" applyBorder="1" applyAlignment="1">
      <alignment horizontal="right" vertical="center"/>
    </xf>
    <xf numFmtId="183" fontId="45" fillId="4" borderId="1" xfId="1" applyNumberFormat="1" applyFont="1" applyFill="1" applyBorder="1" applyAlignment="1">
      <alignment horizontal="right" vertical="center"/>
    </xf>
    <xf numFmtId="0" fontId="18" fillId="0" borderId="0" xfId="0" applyFont="1" applyAlignment="1">
      <alignment horizontal="right" vertical="center" wrapText="1"/>
    </xf>
    <xf numFmtId="0" fontId="0" fillId="0" borderId="0" xfId="0" applyAlignment="1">
      <alignment horizontal="right" vertical="center"/>
    </xf>
    <xf numFmtId="42" fontId="13" fillId="2" borderId="1" xfId="4" applyFont="1" applyFill="1" applyBorder="1" applyAlignment="1">
      <alignment vertical="center"/>
    </xf>
    <xf numFmtId="41" fontId="45" fillId="4" borderId="1" xfId="1" applyFont="1" applyFill="1" applyBorder="1" applyAlignment="1">
      <alignment vertical="center"/>
    </xf>
    <xf numFmtId="0" fontId="64" fillId="0" borderId="0" xfId="0" applyFont="1">
      <alignment vertical="center"/>
    </xf>
    <xf numFmtId="0" fontId="15" fillId="0" borderId="1" xfId="0" applyFont="1" applyBorder="1" applyAlignment="1">
      <alignment horizontal="center" vertical="center"/>
    </xf>
    <xf numFmtId="41" fontId="15" fillId="0" borderId="1" xfId="1" applyFont="1" applyFill="1" applyBorder="1" applyAlignment="1">
      <alignment horizontal="center" vertical="center"/>
    </xf>
    <xf numFmtId="0" fontId="15" fillId="4" borderId="1" xfId="0" applyFont="1" applyFill="1" applyBorder="1" applyAlignment="1">
      <alignment horizontal="center" vertical="center"/>
    </xf>
    <xf numFmtId="41" fontId="15" fillId="4" borderId="1" xfId="1" applyFont="1" applyFill="1" applyBorder="1" applyAlignment="1">
      <alignment horizontal="center" vertical="center"/>
    </xf>
    <xf numFmtId="41" fontId="15" fillId="14" borderId="1" xfId="0" applyNumberFormat="1" applyFont="1" applyFill="1" applyBorder="1">
      <alignment vertical="center"/>
    </xf>
    <xf numFmtId="0" fontId="15" fillId="4" borderId="1" xfId="0" applyFont="1" applyFill="1" applyBorder="1" applyAlignment="1">
      <alignment horizontal="center" vertical="center" wrapText="1"/>
    </xf>
    <xf numFmtId="41" fontId="15" fillId="14" borderId="1" xfId="1" applyFont="1" applyFill="1" applyBorder="1" applyAlignment="1">
      <alignment horizontal="center" vertical="center"/>
    </xf>
    <xf numFmtId="0" fontId="15" fillId="14" borderId="1" xfId="0" applyFont="1" applyFill="1" applyBorder="1" applyAlignment="1">
      <alignment horizontal="center" vertical="center"/>
    </xf>
    <xf numFmtId="179" fontId="15" fillId="14" borderId="1" xfId="0" applyNumberFormat="1" applyFont="1" applyFill="1" applyBorder="1" applyAlignment="1">
      <alignment horizontal="center" vertical="center"/>
    </xf>
    <xf numFmtId="3" fontId="0" fillId="0" borderId="0" xfId="0" applyNumberFormat="1">
      <alignment vertical="center"/>
    </xf>
    <xf numFmtId="0" fontId="65" fillId="0" borderId="1" xfId="0" applyFont="1" applyBorder="1">
      <alignment vertical="center"/>
    </xf>
    <xf numFmtId="0" fontId="67" fillId="3" borderId="36" xfId="0" applyFont="1" applyFill="1" applyBorder="1" applyAlignment="1">
      <alignment horizontal="center" vertical="center" wrapText="1"/>
    </xf>
    <xf numFmtId="0" fontId="67" fillId="3" borderId="14" xfId="0" applyFont="1" applyFill="1" applyBorder="1" applyAlignment="1">
      <alignment horizontal="center" vertical="center" wrapText="1"/>
    </xf>
    <xf numFmtId="0" fontId="67" fillId="3" borderId="66" xfId="0" applyFont="1" applyFill="1" applyBorder="1" applyAlignment="1">
      <alignment horizontal="center" vertical="center" wrapText="1"/>
    </xf>
    <xf numFmtId="0" fontId="67" fillId="3" borderId="48" xfId="0" applyFont="1" applyFill="1" applyBorder="1" applyAlignment="1">
      <alignment horizontal="center" vertical="center" wrapText="1"/>
    </xf>
    <xf numFmtId="0" fontId="67" fillId="3" borderId="54" xfId="0" applyFont="1" applyFill="1" applyBorder="1" applyAlignment="1">
      <alignment horizontal="center" vertical="center" wrapText="1"/>
    </xf>
    <xf numFmtId="0" fontId="67" fillId="3" borderId="53" xfId="0" applyFont="1" applyFill="1" applyBorder="1" applyAlignment="1">
      <alignment horizontal="center" vertical="center" wrapText="1"/>
    </xf>
    <xf numFmtId="3" fontId="65" fillId="0" borderId="1" xfId="0" applyNumberFormat="1" applyFont="1" applyBorder="1" applyAlignment="1">
      <alignment horizontal="right" vertical="center" wrapText="1"/>
    </xf>
    <xf numFmtId="3" fontId="66" fillId="3" borderId="1" xfId="0" applyNumberFormat="1" applyFont="1" applyFill="1" applyBorder="1" applyAlignment="1">
      <alignment vertical="center" wrapText="1"/>
    </xf>
    <xf numFmtId="3" fontId="68" fillId="0" borderId="1" xfId="0" applyNumberFormat="1" applyFont="1" applyBorder="1" applyAlignment="1">
      <alignment horizontal="right" vertical="center" wrapText="1"/>
    </xf>
    <xf numFmtId="3" fontId="66" fillId="0" borderId="38" xfId="0" applyNumberFormat="1" applyFont="1" applyBorder="1" applyAlignment="1">
      <alignment vertical="center" wrapText="1"/>
    </xf>
    <xf numFmtId="3" fontId="66" fillId="0" borderId="15" xfId="0" applyNumberFormat="1" applyFont="1" applyBorder="1" applyAlignment="1">
      <alignment vertical="center" wrapText="1"/>
    </xf>
    <xf numFmtId="3" fontId="66" fillId="0" borderId="67" xfId="0" applyNumberFormat="1" applyFont="1" applyBorder="1" applyAlignment="1">
      <alignment vertical="center" wrapText="1"/>
    </xf>
    <xf numFmtId="3" fontId="66" fillId="0" borderId="49" xfId="0" applyNumberFormat="1" applyFont="1" applyBorder="1" applyAlignment="1">
      <alignment vertical="center" wrapText="1"/>
    </xf>
    <xf numFmtId="3" fontId="66" fillId="14" borderId="55" xfId="0" applyNumberFormat="1" applyFont="1" applyFill="1" applyBorder="1" applyAlignment="1">
      <alignment vertical="center" wrapText="1"/>
    </xf>
    <xf numFmtId="3" fontId="66" fillId="14" borderId="38" xfId="0" applyNumberFormat="1" applyFont="1" applyFill="1" applyBorder="1" applyAlignment="1">
      <alignment vertical="center" wrapText="1"/>
    </xf>
    <xf numFmtId="3" fontId="66" fillId="14" borderId="17" xfId="0" applyNumberFormat="1" applyFont="1" applyFill="1" applyBorder="1" applyAlignment="1">
      <alignment vertical="center" wrapText="1"/>
    </xf>
    <xf numFmtId="3" fontId="66" fillId="14" borderId="18" xfId="0" applyNumberFormat="1" applyFont="1" applyFill="1" applyBorder="1" applyAlignment="1">
      <alignment vertical="center" wrapText="1"/>
    </xf>
    <xf numFmtId="3" fontId="66" fillId="0" borderId="3" xfId="0" applyNumberFormat="1" applyFont="1" applyBorder="1" applyAlignment="1">
      <alignment vertical="center" wrapText="1"/>
    </xf>
    <xf numFmtId="3" fontId="66" fillId="0" borderId="1" xfId="0" applyNumberFormat="1" applyFont="1" applyBorder="1" applyAlignment="1">
      <alignment vertical="center" wrapText="1"/>
    </xf>
    <xf numFmtId="3" fontId="66" fillId="12" borderId="49" xfId="0" applyNumberFormat="1" applyFont="1" applyFill="1" applyBorder="1" applyAlignment="1">
      <alignment vertical="center" wrapText="1"/>
    </xf>
    <xf numFmtId="3" fontId="66" fillId="12" borderId="55" xfId="0" applyNumberFormat="1" applyFont="1" applyFill="1" applyBorder="1" applyAlignment="1">
      <alignment vertical="center" wrapText="1"/>
    </xf>
    <xf numFmtId="3" fontId="66" fillId="12" borderId="38" xfId="0" applyNumberFormat="1" applyFont="1" applyFill="1" applyBorder="1" applyAlignment="1">
      <alignment vertical="center" wrapText="1"/>
    </xf>
    <xf numFmtId="3" fontId="66" fillId="12" borderId="17" xfId="0" applyNumberFormat="1" applyFont="1" applyFill="1" applyBorder="1" applyAlignment="1">
      <alignment vertical="center" wrapText="1"/>
    </xf>
    <xf numFmtId="3" fontId="66" fillId="13" borderId="18" xfId="0" applyNumberFormat="1" applyFont="1" applyFill="1" applyBorder="1" applyAlignment="1">
      <alignment vertical="center" wrapText="1"/>
    </xf>
    <xf numFmtId="3" fontId="66" fillId="13" borderId="1" xfId="0" applyNumberFormat="1" applyFont="1" applyFill="1" applyBorder="1" applyAlignment="1">
      <alignment vertical="center" wrapText="1"/>
    </xf>
    <xf numFmtId="3" fontId="66" fillId="0" borderId="39" xfId="0" applyNumberFormat="1" applyFont="1" applyBorder="1" applyAlignment="1">
      <alignment vertical="center" wrapText="1"/>
    </xf>
    <xf numFmtId="3" fontId="66" fillId="0" borderId="40" xfId="0" applyNumberFormat="1" applyFont="1" applyBorder="1" applyAlignment="1">
      <alignment vertical="center" wrapText="1"/>
    </xf>
    <xf numFmtId="3" fontId="66" fillId="0" borderId="68" xfId="0" applyNumberFormat="1" applyFont="1" applyBorder="1" applyAlignment="1">
      <alignment vertical="center" wrapText="1"/>
    </xf>
    <xf numFmtId="3" fontId="66" fillId="12" borderId="50" xfId="0" applyNumberFormat="1" applyFont="1" applyFill="1" applyBorder="1" applyAlignment="1">
      <alignment vertical="center" wrapText="1"/>
    </xf>
    <xf numFmtId="3" fontId="66" fillId="12" borderId="56" xfId="0" applyNumberFormat="1" applyFont="1" applyFill="1" applyBorder="1" applyAlignment="1">
      <alignment vertical="center" wrapText="1"/>
    </xf>
    <xf numFmtId="3" fontId="66" fillId="12" borderId="39" xfId="0" applyNumberFormat="1" applyFont="1" applyFill="1" applyBorder="1" applyAlignment="1">
      <alignment vertical="center" wrapText="1"/>
    </xf>
    <xf numFmtId="3" fontId="66" fillId="12" borderId="41" xfId="0" applyNumberFormat="1" applyFont="1" applyFill="1" applyBorder="1" applyAlignment="1">
      <alignment vertical="center" wrapText="1"/>
    </xf>
    <xf numFmtId="3" fontId="66" fillId="13" borderId="43" xfId="0" applyNumberFormat="1" applyFont="1" applyFill="1" applyBorder="1" applyAlignment="1">
      <alignment vertical="center" wrapText="1"/>
    </xf>
    <xf numFmtId="3" fontId="66" fillId="13" borderId="13" xfId="0" applyNumberFormat="1" applyFont="1" applyFill="1" applyBorder="1" applyAlignment="1">
      <alignment vertical="center" wrapText="1"/>
    </xf>
    <xf numFmtId="41" fontId="69" fillId="5" borderId="1" xfId="0" applyNumberFormat="1" applyFont="1" applyFill="1" applyBorder="1">
      <alignment vertical="center"/>
    </xf>
    <xf numFmtId="41" fontId="45" fillId="5" borderId="1" xfId="0" applyNumberFormat="1" applyFont="1" applyFill="1" applyBorder="1">
      <alignment vertical="center"/>
    </xf>
    <xf numFmtId="177" fontId="46" fillId="5" borderId="32" xfId="3" applyNumberFormat="1" applyFont="1" applyFill="1" applyBorder="1" applyAlignment="1">
      <alignment horizontal="center" vertical="center" wrapText="1"/>
    </xf>
    <xf numFmtId="0" fontId="46" fillId="4" borderId="1" xfId="0" applyFont="1" applyFill="1" applyBorder="1">
      <alignment vertical="center"/>
    </xf>
    <xf numFmtId="0" fontId="45" fillId="4" borderId="1" xfId="0" applyFont="1" applyFill="1" applyBorder="1">
      <alignment vertical="center"/>
    </xf>
    <xf numFmtId="0" fontId="46" fillId="0" borderId="1" xfId="0" applyFont="1" applyBorder="1" applyAlignment="1">
      <alignment vertical="center" wrapText="1"/>
    </xf>
    <xf numFmtId="0" fontId="46" fillId="4" borderId="1" xfId="0" applyFont="1" applyFill="1" applyBorder="1" applyAlignment="1">
      <alignment vertical="center" wrapText="1"/>
    </xf>
    <xf numFmtId="177" fontId="69" fillId="5" borderId="32" xfId="3" applyNumberFormat="1" applyFont="1" applyFill="1" applyBorder="1" applyAlignment="1">
      <alignment horizontal="center" vertical="center"/>
    </xf>
    <xf numFmtId="3" fontId="46" fillId="5" borderId="1" xfId="0" applyNumberFormat="1" applyFont="1" applyFill="1" applyBorder="1">
      <alignment vertical="center"/>
    </xf>
    <xf numFmtId="177" fontId="46" fillId="5" borderId="21" xfId="3" applyNumberFormat="1" applyFont="1" applyFill="1" applyBorder="1" applyAlignment="1">
      <alignment horizontal="center" vertical="center"/>
    </xf>
    <xf numFmtId="0" fontId="46" fillId="0" borderId="1" xfId="0" applyFont="1" applyBorder="1">
      <alignment vertical="center"/>
    </xf>
    <xf numFmtId="3" fontId="46" fillId="2" borderId="1" xfId="0" applyNumberFormat="1" applyFont="1" applyFill="1" applyBorder="1">
      <alignment vertical="center"/>
    </xf>
    <xf numFmtId="177" fontId="46" fillId="2" borderId="21" xfId="3" applyNumberFormat="1" applyFont="1" applyFill="1" applyBorder="1" applyAlignment="1">
      <alignment horizontal="center" vertical="center"/>
    </xf>
    <xf numFmtId="3" fontId="66" fillId="10" borderId="64" xfId="0" applyNumberFormat="1" applyFont="1" applyFill="1" applyBorder="1">
      <alignment vertical="center"/>
    </xf>
    <xf numFmtId="3" fontId="66" fillId="10" borderId="3" xfId="0" applyNumberFormat="1" applyFont="1" applyFill="1" applyBorder="1">
      <alignment vertical="center"/>
    </xf>
    <xf numFmtId="3" fontId="66" fillId="10" borderId="3" xfId="0" applyNumberFormat="1" applyFont="1" applyFill="1" applyBorder="1" applyAlignment="1">
      <alignment horizontal="right" vertical="center"/>
    </xf>
    <xf numFmtId="3" fontId="66" fillId="10" borderId="43" xfId="0" applyNumberFormat="1" applyFont="1" applyFill="1" applyBorder="1" applyAlignment="1">
      <alignment horizontal="right" vertical="center"/>
    </xf>
    <xf numFmtId="3" fontId="66" fillId="10" borderId="42" xfId="0" applyNumberFormat="1" applyFont="1" applyFill="1" applyBorder="1" applyAlignment="1">
      <alignment horizontal="right" vertical="center"/>
    </xf>
    <xf numFmtId="3" fontId="66" fillId="10" borderId="50" xfId="0" applyNumberFormat="1" applyFont="1" applyFill="1" applyBorder="1" applyAlignment="1">
      <alignment horizontal="right" vertical="center"/>
    </xf>
    <xf numFmtId="3" fontId="66" fillId="10" borderId="45" xfId="0" applyNumberFormat="1" applyFont="1" applyFill="1" applyBorder="1" applyAlignment="1">
      <alignment horizontal="right" vertical="center"/>
    </xf>
    <xf numFmtId="184" fontId="45" fillId="4" borderId="1" xfId="0" applyNumberFormat="1" applyFont="1" applyFill="1" applyBorder="1" applyAlignment="1">
      <alignment horizontal="center" vertical="center"/>
    </xf>
    <xf numFmtId="184" fontId="45" fillId="4" borderId="1" xfId="1" applyNumberFormat="1" applyFont="1" applyFill="1" applyBorder="1" applyAlignment="1">
      <alignment horizontal="center" vertical="center"/>
    </xf>
    <xf numFmtId="184" fontId="45" fillId="4" borderId="1" xfId="1" applyNumberFormat="1" applyFont="1" applyFill="1" applyBorder="1" applyAlignment="1">
      <alignment vertical="center"/>
    </xf>
    <xf numFmtId="43" fontId="0" fillId="0" borderId="0" xfId="0" applyNumberFormat="1">
      <alignment vertical="center"/>
    </xf>
    <xf numFmtId="41" fontId="4" fillId="0" borderId="0" xfId="1" applyFont="1">
      <alignment vertical="center"/>
    </xf>
    <xf numFmtId="184" fontId="45" fillId="0" borderId="1" xfId="0" applyNumberFormat="1" applyFont="1" applyBorder="1" applyAlignment="1">
      <alignment horizontal="center" vertical="center"/>
    </xf>
    <xf numFmtId="184" fontId="45" fillId="4" borderId="1" xfId="1" applyNumberFormat="1" applyFont="1" applyFill="1" applyBorder="1" applyAlignment="1">
      <alignment horizontal="right" vertical="center"/>
    </xf>
    <xf numFmtId="0" fontId="45" fillId="4" borderId="1" xfId="1" applyNumberFormat="1" applyFont="1" applyFill="1" applyBorder="1" applyAlignment="1">
      <alignment horizontal="center" vertical="center"/>
    </xf>
    <xf numFmtId="0" fontId="45" fillId="4" borderId="1" xfId="1" applyNumberFormat="1" applyFont="1" applyFill="1" applyBorder="1" applyAlignment="1">
      <alignment vertical="center"/>
    </xf>
    <xf numFmtId="183" fontId="45" fillId="4" borderId="1" xfId="0" applyNumberFormat="1" applyFont="1" applyFill="1" applyBorder="1" applyAlignment="1">
      <alignment horizontal="center" vertical="center"/>
    </xf>
    <xf numFmtId="183" fontId="45" fillId="4" borderId="1" xfId="1" applyNumberFormat="1" applyFont="1" applyFill="1" applyBorder="1" applyAlignment="1">
      <alignment horizontal="center" vertical="center"/>
    </xf>
    <xf numFmtId="185" fontId="45" fillId="4" borderId="1" xfId="1" applyNumberFormat="1" applyFont="1" applyFill="1" applyBorder="1" applyAlignment="1">
      <alignment horizontal="center" vertical="center"/>
    </xf>
    <xf numFmtId="183" fontId="45" fillId="4" borderId="1" xfId="1" applyNumberFormat="1" applyFont="1" applyFill="1" applyBorder="1" applyAlignment="1">
      <alignment vertical="center"/>
    </xf>
    <xf numFmtId="0" fontId="70" fillId="0" borderId="1" xfId="0" applyFont="1" applyBorder="1" applyAlignment="1">
      <alignment horizontal="center" vertical="center"/>
    </xf>
    <xf numFmtId="3" fontId="70" fillId="0" borderId="1" xfId="0" applyNumberFormat="1" applyFont="1" applyBorder="1" applyAlignment="1"/>
    <xf numFmtId="0" fontId="70" fillId="0" borderId="1" xfId="0" applyFont="1" applyBorder="1">
      <alignment vertical="center"/>
    </xf>
    <xf numFmtId="0" fontId="70" fillId="14" borderId="1" xfId="0" applyFont="1" applyFill="1" applyBorder="1" applyAlignment="1">
      <alignment horizontal="center"/>
    </xf>
    <xf numFmtId="0" fontId="45" fillId="0" borderId="1" xfId="8" applyNumberFormat="1" applyFont="1" applyFill="1" applyBorder="1" applyAlignment="1">
      <alignment horizontal="center" vertical="center"/>
    </xf>
    <xf numFmtId="3" fontId="45" fillId="0" borderId="1" xfId="1" applyNumberFormat="1" applyFont="1" applyFill="1" applyBorder="1" applyAlignment="1">
      <alignment horizontal="center" vertical="center"/>
    </xf>
    <xf numFmtId="0" fontId="45" fillId="4" borderId="1" xfId="1" applyNumberFormat="1" applyFont="1" applyFill="1" applyBorder="1" applyAlignment="1">
      <alignment horizontal="right" vertical="center"/>
    </xf>
    <xf numFmtId="186" fontId="45" fillId="4" borderId="1" xfId="1" applyNumberFormat="1" applyFont="1" applyFill="1" applyBorder="1" applyAlignment="1">
      <alignment horizontal="center" vertical="center"/>
    </xf>
    <xf numFmtId="41" fontId="15" fillId="14" borderId="1" xfId="1" applyFont="1" applyFill="1" applyBorder="1" applyAlignment="1">
      <alignment vertical="center"/>
    </xf>
    <xf numFmtId="41" fontId="74" fillId="14" borderId="1" xfId="1" applyFont="1" applyFill="1" applyBorder="1" applyAlignment="1">
      <alignment horizontal="center" vertical="center"/>
    </xf>
    <xf numFmtId="0" fontId="74" fillId="14" borderId="1" xfId="0" applyFont="1" applyFill="1" applyBorder="1" applyAlignment="1">
      <alignment horizontal="center" vertical="center"/>
    </xf>
    <xf numFmtId="41" fontId="74" fillId="14" borderId="1" xfId="0" applyNumberFormat="1" applyFont="1" applyFill="1" applyBorder="1">
      <alignment vertical="center"/>
    </xf>
    <xf numFmtId="41" fontId="45" fillId="14" borderId="1" xfId="1" applyFont="1" applyFill="1" applyBorder="1" applyAlignment="1">
      <alignment horizontal="center" vertical="center"/>
    </xf>
    <xf numFmtId="0" fontId="73" fillId="14" borderId="1" xfId="0" applyFont="1" applyFill="1" applyBorder="1" applyAlignment="1">
      <alignment vertical="center" wrapText="1"/>
    </xf>
    <xf numFmtId="176" fontId="74" fillId="14" borderId="1" xfId="8" applyNumberFormat="1" applyFont="1" applyFill="1" applyBorder="1" applyAlignment="1">
      <alignment horizontal="center" vertical="center"/>
    </xf>
    <xf numFmtId="42" fontId="13" fillId="2" borderId="2" xfId="4" applyFont="1" applyFill="1" applyBorder="1" applyAlignment="1">
      <alignment horizontal="center" vertical="center"/>
    </xf>
    <xf numFmtId="3" fontId="16" fillId="5" borderId="3" xfId="0" applyNumberFormat="1" applyFont="1" applyFill="1" applyBorder="1">
      <alignment vertical="center"/>
    </xf>
    <xf numFmtId="177" fontId="46" fillId="5" borderId="75" xfId="3" applyNumberFormat="1" applyFont="1" applyFill="1" applyBorder="1" applyAlignment="1">
      <alignment horizontal="center" vertical="center"/>
    </xf>
    <xf numFmtId="177" fontId="21" fillId="5" borderId="76" xfId="3" applyNumberFormat="1" applyFont="1" applyFill="1" applyBorder="1" applyAlignment="1">
      <alignment horizontal="center" vertical="center"/>
    </xf>
    <xf numFmtId="177" fontId="69" fillId="5" borderId="76" xfId="3" applyNumberFormat="1" applyFont="1" applyFill="1" applyBorder="1" applyAlignment="1">
      <alignment horizontal="center" vertical="center"/>
    </xf>
    <xf numFmtId="41" fontId="0" fillId="14" borderId="0" xfId="1" applyFont="1" applyFill="1">
      <alignment vertical="center"/>
    </xf>
    <xf numFmtId="41" fontId="0" fillId="14" borderId="1" xfId="1" applyFont="1" applyFill="1" applyBorder="1">
      <alignment vertical="center"/>
    </xf>
    <xf numFmtId="41" fontId="0" fillId="14" borderId="1" xfId="1" applyFont="1" applyFill="1" applyBorder="1" applyAlignment="1">
      <alignment vertical="top" wrapText="1"/>
    </xf>
    <xf numFmtId="41" fontId="0" fillId="14" borderId="1" xfId="1" applyFont="1" applyFill="1" applyBorder="1" applyAlignment="1">
      <alignment vertical="center" wrapText="1"/>
    </xf>
    <xf numFmtId="41" fontId="64" fillId="14" borderId="1" xfId="1" applyFont="1" applyFill="1" applyBorder="1">
      <alignment vertical="center"/>
    </xf>
    <xf numFmtId="0" fontId="67" fillId="3" borderId="16" xfId="0" applyFont="1" applyFill="1" applyBorder="1" applyAlignment="1">
      <alignment horizontal="center" vertical="center" wrapText="1"/>
    </xf>
    <xf numFmtId="0" fontId="67" fillId="3" borderId="19" xfId="0" applyFont="1" applyFill="1" applyBorder="1" applyAlignment="1">
      <alignment horizontal="center" vertical="center" wrapText="1"/>
    </xf>
    <xf numFmtId="0" fontId="67" fillId="3" borderId="60" xfId="0" applyFont="1" applyFill="1" applyBorder="1" applyAlignment="1">
      <alignment horizontal="right" vertical="center" wrapText="1"/>
    </xf>
    <xf numFmtId="0" fontId="67" fillId="3" borderId="16" xfId="0" applyFont="1" applyFill="1" applyBorder="1" applyAlignment="1">
      <alignment horizontal="right" vertical="center" wrapText="1"/>
    </xf>
    <xf numFmtId="0" fontId="9" fillId="3" borderId="46" xfId="0" applyFont="1" applyFill="1" applyBorder="1" applyAlignment="1">
      <alignment horizontal="center" vertical="center"/>
    </xf>
    <xf numFmtId="0" fontId="9" fillId="3" borderId="47" xfId="0" applyFont="1" applyFill="1" applyBorder="1" applyAlignment="1">
      <alignment horizontal="center" vertical="center"/>
    </xf>
    <xf numFmtId="0" fontId="67" fillId="3" borderId="4" xfId="0" applyFont="1" applyFill="1" applyBorder="1" applyAlignment="1">
      <alignment horizontal="center" vertical="center" wrapText="1"/>
    </xf>
    <xf numFmtId="0" fontId="67" fillId="3" borderId="6" xfId="0" applyFont="1" applyFill="1" applyBorder="1" applyAlignment="1">
      <alignment horizontal="center" vertical="center" wrapText="1"/>
    </xf>
    <xf numFmtId="0" fontId="67" fillId="3" borderId="5" xfId="0" applyFont="1" applyFill="1" applyBorder="1" applyAlignment="1">
      <alignment horizontal="center" vertical="center" wrapText="1"/>
    </xf>
    <xf numFmtId="0" fontId="67" fillId="3" borderId="7" xfId="0" applyFont="1" applyFill="1" applyBorder="1" applyAlignment="1">
      <alignment horizontal="center" vertical="center" wrapText="1"/>
    </xf>
    <xf numFmtId="0" fontId="67" fillId="3" borderId="34" xfId="0" applyFont="1" applyFill="1" applyBorder="1" applyAlignment="1">
      <alignment horizontal="center" vertical="center" wrapText="1"/>
    </xf>
    <xf numFmtId="0" fontId="67" fillId="3" borderId="35" xfId="0" applyFont="1" applyFill="1" applyBorder="1" applyAlignment="1">
      <alignment horizontal="center" vertical="center" wrapText="1"/>
    </xf>
    <xf numFmtId="0" fontId="67" fillId="3" borderId="37" xfId="0" applyFont="1" applyFill="1" applyBorder="1" applyAlignment="1">
      <alignment horizontal="center" vertical="center" wrapText="1"/>
    </xf>
    <xf numFmtId="0" fontId="67" fillId="3" borderId="1" xfId="0" applyFont="1" applyFill="1" applyBorder="1" applyAlignment="1">
      <alignment horizontal="center" vertical="center" wrapText="1"/>
    </xf>
    <xf numFmtId="0" fontId="67" fillId="3" borderId="51" xfId="0" applyFont="1" applyFill="1" applyBorder="1" applyAlignment="1">
      <alignment horizontal="center" vertical="center" wrapText="1"/>
    </xf>
    <xf numFmtId="0" fontId="67" fillId="3" borderId="52"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7" fillId="3" borderId="2" xfId="0" applyFont="1" applyFill="1" applyBorder="1" applyAlignment="1">
      <alignment horizontal="center" vertical="center" wrapText="1"/>
    </xf>
    <xf numFmtId="0" fontId="67" fillId="3" borderId="12" xfId="0" applyFont="1" applyFill="1" applyBorder="1" applyAlignment="1">
      <alignment horizontal="center" vertical="center" wrapText="1"/>
    </xf>
    <xf numFmtId="0" fontId="4" fillId="10" borderId="73" xfId="0" applyFont="1" applyFill="1" applyBorder="1" applyAlignment="1">
      <alignment horizontal="center" vertical="center"/>
    </xf>
    <xf numFmtId="0" fontId="4" fillId="10" borderId="74" xfId="0" applyFont="1" applyFill="1" applyBorder="1" applyAlignment="1">
      <alignment horizontal="center" vertical="center"/>
    </xf>
    <xf numFmtId="0" fontId="4" fillId="10" borderId="44" xfId="0" applyFont="1" applyFill="1" applyBorder="1" applyAlignment="1">
      <alignment horizontal="center" vertical="center"/>
    </xf>
    <xf numFmtId="0" fontId="66" fillId="3" borderId="1" xfId="0" applyFont="1" applyFill="1" applyBorder="1" applyAlignment="1">
      <alignment horizontal="center" vertical="center" wrapText="1"/>
    </xf>
    <xf numFmtId="0" fontId="66" fillId="3" borderId="2" xfId="0" applyFont="1" applyFill="1" applyBorder="1" applyAlignment="1">
      <alignment horizontal="center" vertical="center" wrapText="1"/>
    </xf>
    <xf numFmtId="0" fontId="27" fillId="7" borderId="31" xfId="0" applyFont="1" applyFill="1" applyBorder="1" applyAlignment="1" applyProtection="1">
      <alignment horizontal="center" vertical="center" wrapText="1"/>
      <protection locked="0"/>
    </xf>
    <xf numFmtId="0" fontId="27" fillId="7" borderId="61" xfId="0" applyFont="1" applyFill="1" applyBorder="1" applyAlignment="1" applyProtection="1">
      <alignment horizontal="center" vertical="center" wrapText="1"/>
      <protection locked="0"/>
    </xf>
    <xf numFmtId="0" fontId="27" fillId="7" borderId="12" xfId="0" applyFont="1" applyFill="1" applyBorder="1" applyAlignment="1" applyProtection="1">
      <alignment horizontal="center" vertical="center" wrapText="1"/>
      <protection locked="0"/>
    </xf>
    <xf numFmtId="0" fontId="27" fillId="7" borderId="2" xfId="0" applyFont="1" applyFill="1" applyBorder="1" applyAlignment="1" applyProtection="1">
      <alignment horizontal="center" vertical="center" wrapText="1"/>
      <protection locked="0"/>
    </xf>
    <xf numFmtId="1" fontId="27" fillId="7" borderId="12" xfId="0" applyNumberFormat="1" applyFont="1" applyFill="1" applyBorder="1" applyAlignment="1" applyProtection="1">
      <alignment horizontal="center" vertical="center" wrapText="1"/>
      <protection locked="0"/>
    </xf>
    <xf numFmtId="1" fontId="27" fillId="7" borderId="2" xfId="0" applyNumberFormat="1" applyFont="1" applyFill="1" applyBorder="1" applyAlignment="1" applyProtection="1">
      <alignment horizontal="center" vertical="center" wrapText="1"/>
      <protection locked="0"/>
    </xf>
    <xf numFmtId="0" fontId="27" fillId="7" borderId="11" xfId="0" applyFont="1" applyFill="1" applyBorder="1" applyAlignment="1" applyProtection="1">
      <alignment horizontal="center" vertical="center" wrapText="1"/>
      <protection locked="0"/>
    </xf>
    <xf numFmtId="0" fontId="27" fillId="7" borderId="20" xfId="0" applyFont="1" applyFill="1" applyBorder="1" applyAlignment="1" applyProtection="1">
      <alignment horizontal="center" vertical="center" wrapText="1"/>
      <protection locked="0"/>
    </xf>
    <xf numFmtId="0" fontId="30" fillId="8" borderId="30" xfId="0" applyFont="1" applyFill="1" applyBorder="1" applyAlignment="1" applyProtection="1">
      <alignment horizontal="center" vertical="center"/>
      <protection locked="0"/>
    </xf>
    <xf numFmtId="0" fontId="30" fillId="8" borderId="0" xfId="0" applyFont="1" applyFill="1" applyAlignment="1" applyProtection="1">
      <alignment horizontal="center" vertical="center"/>
      <protection locked="0"/>
    </xf>
    <xf numFmtId="0" fontId="4" fillId="11" borderId="12" xfId="0" applyFont="1" applyFill="1" applyBorder="1" applyAlignment="1">
      <alignment horizontal="center" vertical="center"/>
    </xf>
    <xf numFmtId="0" fontId="4" fillId="11" borderId="31" xfId="0" applyFont="1" applyFill="1" applyBorder="1" applyAlignment="1">
      <alignment horizontal="center" vertical="center"/>
    </xf>
    <xf numFmtId="0" fontId="39" fillId="7" borderId="57" xfId="0" applyFont="1" applyFill="1" applyBorder="1" applyAlignment="1" applyProtection="1">
      <alignment horizontal="center" vertical="center" wrapText="1"/>
      <protection locked="0"/>
    </xf>
    <xf numFmtId="0" fontId="27" fillId="7" borderId="35" xfId="0" applyFont="1" applyFill="1" applyBorder="1" applyAlignment="1" applyProtection="1">
      <alignment horizontal="center" vertical="center" wrapText="1"/>
      <protection locked="0"/>
    </xf>
    <xf numFmtId="0" fontId="30" fillId="8" borderId="0" xfId="0" applyFont="1" applyFill="1" applyAlignment="1">
      <alignment horizontal="center" vertical="center"/>
    </xf>
    <xf numFmtId="0" fontId="31" fillId="9" borderId="2" xfId="0" applyFont="1" applyFill="1" applyBorder="1" applyAlignment="1">
      <alignment horizontal="center" vertical="center" wrapText="1"/>
    </xf>
    <xf numFmtId="0" fontId="31" fillId="9" borderId="3" xfId="0" applyFont="1" applyFill="1" applyBorder="1" applyAlignment="1">
      <alignment horizontal="center" vertical="center" wrapText="1"/>
    </xf>
    <xf numFmtId="0" fontId="33" fillId="11" borderId="4" xfId="0" applyFont="1" applyFill="1" applyBorder="1" applyAlignment="1">
      <alignment horizontal="center" vertical="center" wrapText="1"/>
    </xf>
    <xf numFmtId="0" fontId="33" fillId="11" borderId="6" xfId="0" applyFont="1" applyFill="1" applyBorder="1" applyAlignment="1">
      <alignment horizontal="center" vertical="center" wrapText="1"/>
    </xf>
    <xf numFmtId="0" fontId="33" fillId="11" borderId="5" xfId="0" applyFont="1" applyFill="1" applyBorder="1" applyAlignment="1">
      <alignment horizontal="center" vertical="center" wrapText="1"/>
    </xf>
    <xf numFmtId="0" fontId="31" fillId="9" borderId="1" xfId="0" applyFont="1" applyFill="1" applyBorder="1" applyAlignment="1">
      <alignment horizontal="center" vertical="center" wrapText="1"/>
    </xf>
    <xf numFmtId="0" fontId="32" fillId="9" borderId="1"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33" fillId="10" borderId="1" xfId="0" applyFont="1" applyFill="1" applyBorder="1" applyAlignment="1">
      <alignment horizontal="center" vertical="center" wrapText="1" shrinkToFit="1"/>
    </xf>
    <xf numFmtId="0" fontId="33" fillId="6" borderId="1" xfId="0" applyFont="1" applyFill="1" applyBorder="1" applyAlignment="1">
      <alignment horizontal="center" vertical="center" wrapText="1"/>
    </xf>
    <xf numFmtId="0" fontId="19" fillId="0" borderId="0" xfId="0" applyFont="1" applyAlignment="1">
      <alignment horizontal="center" vertical="center"/>
    </xf>
    <xf numFmtId="0" fontId="11" fillId="4" borderId="0" xfId="0" applyFont="1" applyFill="1" applyAlignment="1">
      <alignment horizontal="left" vertical="center"/>
    </xf>
    <xf numFmtId="0" fontId="13" fillId="2" borderId="11"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1" xfId="0" applyFont="1" applyFill="1" applyBorder="1" applyAlignment="1">
      <alignment horizontal="center" vertical="center"/>
    </xf>
    <xf numFmtId="42" fontId="13" fillId="2" borderId="12" xfId="4" applyFont="1" applyFill="1" applyBorder="1" applyAlignment="1">
      <alignment horizontal="center" vertical="center"/>
    </xf>
    <xf numFmtId="3" fontId="13" fillId="2" borderId="12" xfId="0" applyNumberFormat="1" applyFont="1" applyFill="1" applyBorder="1" applyAlignment="1">
      <alignment horizontal="center" vertical="center"/>
    </xf>
    <xf numFmtId="3" fontId="13" fillId="2" borderId="1" xfId="0" applyNumberFormat="1" applyFont="1" applyFill="1" applyBorder="1" applyAlignment="1">
      <alignment horizontal="center" vertical="center"/>
    </xf>
    <xf numFmtId="3" fontId="13" fillId="2" borderId="57" xfId="0" applyNumberFormat="1" applyFont="1" applyFill="1" applyBorder="1" applyAlignment="1">
      <alignment horizontal="center" vertical="center"/>
    </xf>
    <xf numFmtId="3" fontId="13" fillId="2" borderId="3" xfId="0" applyNumberFormat="1" applyFont="1" applyFill="1" applyBorder="1" applyAlignment="1">
      <alignment horizontal="center" vertical="center"/>
    </xf>
    <xf numFmtId="0" fontId="4" fillId="0" borderId="22"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4" fillId="0" borderId="24" xfId="0" applyFont="1" applyBorder="1" applyAlignment="1" applyProtection="1">
      <alignment horizontal="left" vertical="center"/>
      <protection locked="0"/>
    </xf>
    <xf numFmtId="0" fontId="24" fillId="6" borderId="69" xfId="0" applyFont="1" applyFill="1" applyBorder="1" applyAlignment="1" applyProtection="1">
      <alignment horizontal="left" vertical="center" wrapText="1"/>
      <protection locked="0"/>
    </xf>
    <xf numFmtId="0" fontId="24" fillId="6" borderId="70" xfId="0" applyFont="1" applyFill="1" applyBorder="1" applyAlignment="1" applyProtection="1">
      <alignment horizontal="left" vertical="center" wrapText="1"/>
      <protection locked="0"/>
    </xf>
    <xf numFmtId="0" fontId="24" fillId="6" borderId="71" xfId="0" applyFont="1" applyFill="1" applyBorder="1" applyAlignment="1" applyProtection="1">
      <alignment horizontal="left" vertical="center" wrapText="1"/>
      <protection locked="0"/>
    </xf>
    <xf numFmtId="0" fontId="24" fillId="6" borderId="65" xfId="0" applyFont="1" applyFill="1" applyBorder="1" applyAlignment="1" applyProtection="1">
      <alignment horizontal="left" vertical="center" wrapText="1"/>
      <protection locked="0"/>
    </xf>
    <xf numFmtId="0" fontId="24" fillId="6" borderId="0" xfId="0" applyFont="1" applyFill="1" applyAlignment="1" applyProtection="1">
      <alignment horizontal="left" vertical="center" wrapText="1"/>
      <protection locked="0"/>
    </xf>
    <xf numFmtId="0" fontId="24" fillId="6" borderId="72" xfId="0" applyFont="1" applyFill="1" applyBorder="1" applyAlignment="1" applyProtection="1">
      <alignment horizontal="left" vertical="center" wrapText="1"/>
      <protection locked="0"/>
    </xf>
    <xf numFmtId="0" fontId="24" fillId="6" borderId="73" xfId="0" applyFont="1" applyFill="1" applyBorder="1" applyAlignment="1" applyProtection="1">
      <alignment horizontal="left" vertical="center" wrapText="1"/>
      <protection locked="0"/>
    </xf>
    <xf numFmtId="0" fontId="24" fillId="6" borderId="74" xfId="0" applyFont="1" applyFill="1" applyBorder="1" applyAlignment="1" applyProtection="1">
      <alignment horizontal="left" vertical="center" wrapText="1"/>
      <protection locked="0"/>
    </xf>
    <xf numFmtId="0" fontId="24" fillId="6" borderId="44" xfId="0" applyFont="1" applyFill="1" applyBorder="1" applyAlignment="1" applyProtection="1">
      <alignment horizontal="left" vertical="center" wrapText="1"/>
      <protection locked="0"/>
    </xf>
    <xf numFmtId="0" fontId="13" fillId="4" borderId="8" xfId="0" applyFont="1" applyFill="1" applyBorder="1" applyAlignment="1">
      <alignment horizontal="center" vertical="center" textRotation="255" wrapText="1"/>
    </xf>
    <xf numFmtId="0" fontId="13" fillId="4" borderId="1" xfId="0" applyFont="1" applyFill="1" applyBorder="1" applyAlignment="1">
      <alignment horizontal="center" vertical="center" textRotation="255" wrapText="1"/>
    </xf>
    <xf numFmtId="0" fontId="16" fillId="2" borderId="8" xfId="0" applyFont="1" applyFill="1" applyBorder="1" applyAlignment="1">
      <alignment horizontal="center" vertical="center"/>
    </xf>
    <xf numFmtId="0" fontId="16" fillId="2" borderId="1" xfId="0" applyFont="1" applyFill="1" applyBorder="1" applyAlignment="1">
      <alignment horizontal="center" vertical="center"/>
    </xf>
    <xf numFmtId="177" fontId="13" fillId="2" borderId="31" xfId="3" applyNumberFormat="1" applyFont="1" applyFill="1" applyBorder="1" applyAlignment="1">
      <alignment horizontal="center" vertical="center" wrapText="1"/>
    </xf>
    <xf numFmtId="177" fontId="13" fillId="2" borderId="32" xfId="3" applyNumberFormat="1" applyFont="1" applyFill="1" applyBorder="1" applyAlignment="1">
      <alignment horizontal="center" vertical="center" wrapText="1"/>
    </xf>
    <xf numFmtId="0" fontId="24" fillId="6" borderId="22" xfId="0" applyFont="1" applyFill="1" applyBorder="1" applyAlignment="1" applyProtection="1">
      <alignment horizontal="left" vertical="center" wrapText="1"/>
      <protection locked="0"/>
    </xf>
    <xf numFmtId="0" fontId="24" fillId="6" borderId="23" xfId="0" applyFont="1" applyFill="1" applyBorder="1" applyAlignment="1" applyProtection="1">
      <alignment horizontal="left" vertical="center" wrapText="1"/>
      <protection locked="0"/>
    </xf>
    <xf numFmtId="0" fontId="24" fillId="6" borderId="24" xfId="0" applyFont="1" applyFill="1" applyBorder="1" applyAlignment="1" applyProtection="1">
      <alignment horizontal="left" vertical="center" wrapText="1"/>
      <protection locked="0"/>
    </xf>
    <xf numFmtId="0" fontId="24" fillId="6" borderId="25" xfId="0" applyFont="1" applyFill="1" applyBorder="1" applyAlignment="1" applyProtection="1">
      <alignment horizontal="left" vertical="center" wrapText="1"/>
      <protection locked="0"/>
    </xf>
    <xf numFmtId="0" fontId="24" fillId="6" borderId="26" xfId="0" applyFont="1" applyFill="1" applyBorder="1" applyAlignment="1" applyProtection="1">
      <alignment horizontal="left" vertical="center" wrapText="1"/>
      <protection locked="0"/>
    </xf>
    <xf numFmtId="0" fontId="24" fillId="6" borderId="27" xfId="0" applyFont="1" applyFill="1" applyBorder="1" applyAlignment="1" applyProtection="1">
      <alignment horizontal="left" vertical="center" wrapText="1"/>
      <protection locked="0"/>
    </xf>
    <xf numFmtId="0" fontId="24" fillId="6" borderId="28" xfId="0" applyFont="1" applyFill="1" applyBorder="1" applyAlignment="1" applyProtection="1">
      <alignment horizontal="left" vertical="center" wrapText="1"/>
      <protection locked="0"/>
    </xf>
    <xf numFmtId="0" fontId="24" fillId="6" borderId="29" xfId="0" applyFont="1" applyFill="1" applyBorder="1" applyAlignment="1" applyProtection="1">
      <alignment horizontal="left" vertical="center" wrapText="1"/>
      <protection locked="0"/>
    </xf>
    <xf numFmtId="10" fontId="69" fillId="0" borderId="32" xfId="3" applyNumberFormat="1" applyFont="1" applyFill="1" applyBorder="1" applyAlignment="1">
      <alignment horizontal="center" vertical="center"/>
    </xf>
    <xf numFmtId="0" fontId="46" fillId="2" borderId="8" xfId="0" applyFont="1" applyFill="1" applyBorder="1" applyAlignment="1">
      <alignment horizontal="center" vertical="center"/>
    </xf>
    <xf numFmtId="0" fontId="46" fillId="2" borderId="1" xfId="0" applyFont="1" applyFill="1" applyBorder="1" applyAlignment="1">
      <alignment horizontal="center" vertical="center"/>
    </xf>
    <xf numFmtId="0" fontId="46" fillId="4" borderId="1" xfId="0" applyFont="1" applyFill="1" applyBorder="1" applyAlignment="1">
      <alignment horizontal="center" vertical="center" textRotation="255" wrapText="1"/>
    </xf>
    <xf numFmtId="0" fontId="46" fillId="4" borderId="20" xfId="0" applyFont="1" applyFill="1" applyBorder="1" applyAlignment="1">
      <alignment horizontal="center" vertical="center" textRotation="255" wrapText="1"/>
    </xf>
    <xf numFmtId="0" fontId="46" fillId="4" borderId="59" xfId="0" applyFont="1" applyFill="1" applyBorder="1" applyAlignment="1">
      <alignment horizontal="center" vertical="center" textRotation="255" wrapText="1"/>
    </xf>
    <xf numFmtId="0" fontId="46" fillId="4" borderId="10" xfId="0" applyFont="1" applyFill="1" applyBorder="1" applyAlignment="1">
      <alignment horizontal="center" vertical="center" textRotation="255" wrapText="1"/>
    </xf>
    <xf numFmtId="0" fontId="46" fillId="5" borderId="4" xfId="0" applyFont="1" applyFill="1" applyBorder="1" applyAlignment="1">
      <alignment horizontal="center" vertical="center"/>
    </xf>
    <xf numFmtId="0" fontId="46" fillId="5" borderId="6" xfId="0" applyFont="1" applyFill="1" applyBorder="1" applyAlignment="1">
      <alignment horizontal="center" vertical="center"/>
    </xf>
    <xf numFmtId="0" fontId="46" fillId="5" borderId="5" xfId="0" applyFont="1" applyFill="1" applyBorder="1" applyAlignment="1">
      <alignment horizontal="center" vertical="center"/>
    </xf>
    <xf numFmtId="0" fontId="46" fillId="5" borderId="62" xfId="0" applyFont="1" applyFill="1" applyBorder="1" applyAlignment="1">
      <alignment horizontal="center" vertical="center"/>
    </xf>
    <xf numFmtId="0" fontId="46" fillId="5" borderId="63" xfId="0" applyFont="1" applyFill="1" applyBorder="1" applyAlignment="1">
      <alignment horizontal="center" vertical="center"/>
    </xf>
    <xf numFmtId="0" fontId="46" fillId="5" borderId="64" xfId="0" applyFont="1" applyFill="1" applyBorder="1" applyAlignment="1">
      <alignment horizontal="center" vertical="center"/>
    </xf>
    <xf numFmtId="0" fontId="46" fillId="5" borderId="58" xfId="0" applyFont="1" applyFill="1" applyBorder="1" applyAlignment="1">
      <alignment horizontal="center" vertical="center"/>
    </xf>
    <xf numFmtId="0" fontId="46" fillId="4" borderId="2" xfId="0" applyFont="1" applyFill="1" applyBorder="1" applyAlignment="1">
      <alignment horizontal="center" vertical="center" textRotation="255" wrapText="1"/>
    </xf>
    <xf numFmtId="0" fontId="46" fillId="4" borderId="35" xfId="0" applyFont="1" applyFill="1" applyBorder="1" applyAlignment="1">
      <alignment horizontal="center" vertical="center" textRotation="255" wrapText="1"/>
    </xf>
    <xf numFmtId="0" fontId="46" fillId="4" borderId="3" xfId="0" applyFont="1" applyFill="1" applyBorder="1" applyAlignment="1">
      <alignment horizontal="center" vertical="center" textRotation="255" wrapText="1"/>
    </xf>
    <xf numFmtId="0" fontId="22" fillId="0" borderId="0" xfId="0" applyFont="1" applyAlignment="1">
      <alignment horizontal="center" vertical="center"/>
    </xf>
    <xf numFmtId="0" fontId="38" fillId="0" borderId="0" xfId="0" applyFont="1" applyAlignment="1">
      <alignment horizontal="center" vertical="center" wrapText="1"/>
    </xf>
    <xf numFmtId="0" fontId="38" fillId="0" borderId="0" xfId="0" applyFont="1" applyAlignment="1">
      <alignment horizontal="center" vertical="center"/>
    </xf>
    <xf numFmtId="0" fontId="13" fillId="2" borderId="20" xfId="0" applyFont="1" applyFill="1" applyBorder="1" applyAlignment="1">
      <alignment horizontal="center" vertical="center"/>
    </xf>
    <xf numFmtId="0" fontId="13" fillId="2" borderId="2" xfId="0" applyFont="1" applyFill="1" applyBorder="1" applyAlignment="1">
      <alignment horizontal="center" vertical="center"/>
    </xf>
    <xf numFmtId="3" fontId="13" fillId="2" borderId="2" xfId="0" applyNumberFormat="1" applyFont="1" applyFill="1" applyBorder="1" applyAlignment="1">
      <alignment horizontal="center" vertical="center"/>
    </xf>
    <xf numFmtId="177" fontId="13" fillId="2" borderId="77" xfId="3" applyNumberFormat="1" applyFont="1" applyFill="1" applyBorder="1" applyAlignment="1">
      <alignment horizontal="center" vertical="center" wrapText="1"/>
    </xf>
    <xf numFmtId="177" fontId="13" fillId="2" borderId="78" xfId="3" applyNumberFormat="1" applyFont="1" applyFill="1" applyBorder="1" applyAlignment="1">
      <alignment horizontal="center" vertical="center" wrapText="1"/>
    </xf>
    <xf numFmtId="41" fontId="0" fillId="14" borderId="1" xfId="1" applyFont="1" applyFill="1" applyBorder="1" applyAlignment="1">
      <alignment horizontal="center" vertical="center"/>
    </xf>
    <xf numFmtId="0" fontId="16" fillId="5" borderId="62" xfId="0" applyFont="1" applyFill="1" applyBorder="1" applyAlignment="1">
      <alignment horizontal="center" vertical="center"/>
    </xf>
    <xf numFmtId="0" fontId="16" fillId="5" borderId="63" xfId="0" applyFont="1" applyFill="1" applyBorder="1" applyAlignment="1">
      <alignment horizontal="center" vertical="center"/>
    </xf>
    <xf numFmtId="0" fontId="16" fillId="5" borderId="64" xfId="0" applyFont="1" applyFill="1" applyBorder="1" applyAlignment="1">
      <alignment horizontal="center" vertical="center"/>
    </xf>
    <xf numFmtId="0" fontId="13" fillId="4" borderId="2" xfId="0" applyFont="1" applyFill="1" applyBorder="1" applyAlignment="1">
      <alignment horizontal="center" vertical="center" textRotation="255" wrapText="1"/>
    </xf>
    <xf numFmtId="0" fontId="13" fillId="4" borderId="35" xfId="0" applyFont="1" applyFill="1" applyBorder="1" applyAlignment="1">
      <alignment horizontal="center" vertical="center" textRotation="255" wrapText="1"/>
    </xf>
    <xf numFmtId="0" fontId="13" fillId="4" borderId="3" xfId="0" applyFont="1" applyFill="1" applyBorder="1" applyAlignment="1">
      <alignment horizontal="center" vertical="center" textRotation="255" wrapText="1"/>
    </xf>
    <xf numFmtId="0" fontId="16" fillId="5" borderId="4" xfId="0" applyFont="1" applyFill="1" applyBorder="1" applyAlignment="1">
      <alignment horizontal="center" vertical="center"/>
    </xf>
    <xf numFmtId="0" fontId="16" fillId="5" borderId="6" xfId="0" applyFont="1" applyFill="1" applyBorder="1" applyAlignment="1">
      <alignment horizontal="center" vertical="center"/>
    </xf>
    <xf numFmtId="0" fontId="16" fillId="5" borderId="5" xfId="0" applyFont="1" applyFill="1" applyBorder="1" applyAlignment="1">
      <alignment horizontal="center" vertical="center"/>
    </xf>
    <xf numFmtId="0" fontId="16" fillId="5" borderId="1" xfId="0" applyFont="1" applyFill="1" applyBorder="1" applyAlignment="1">
      <alignment horizontal="center" vertical="center"/>
    </xf>
    <xf numFmtId="10" fontId="69" fillId="0" borderId="1" xfId="3" applyNumberFormat="1" applyFont="1" applyFill="1" applyBorder="1" applyAlignment="1">
      <alignment horizontal="center" vertical="center"/>
    </xf>
    <xf numFmtId="10" fontId="72" fillId="14" borderId="1" xfId="3" applyNumberFormat="1" applyFont="1" applyFill="1" applyBorder="1" applyAlignment="1">
      <alignment horizontal="center" vertical="center"/>
    </xf>
    <xf numFmtId="41" fontId="15" fillId="18" borderId="1" xfId="1" applyFont="1" applyFill="1" applyBorder="1" applyAlignment="1">
      <alignment horizontal="center" vertical="center"/>
    </xf>
    <xf numFmtId="41" fontId="45" fillId="18" borderId="1" xfId="1" applyFont="1" applyFill="1" applyBorder="1" applyAlignment="1">
      <alignment horizontal="center" vertical="center"/>
    </xf>
    <xf numFmtId="0" fontId="0" fillId="0" borderId="0" xfId="0" applyAlignment="1">
      <alignment vertical="center"/>
    </xf>
    <xf numFmtId="42" fontId="13" fillId="2" borderId="2" xfId="4" applyFont="1" applyFill="1" applyBorder="1" applyAlignment="1">
      <alignment vertical="center"/>
    </xf>
    <xf numFmtId="41" fontId="15" fillId="0" borderId="1" xfId="1" applyFont="1" applyFill="1" applyBorder="1" applyAlignment="1">
      <alignment vertical="center"/>
    </xf>
    <xf numFmtId="0" fontId="70" fillId="0" borderId="1" xfId="0" applyFont="1" applyBorder="1" applyAlignment="1">
      <alignment vertical="center"/>
    </xf>
    <xf numFmtId="41" fontId="15" fillId="4" borderId="1" xfId="1" applyFont="1" applyFill="1" applyBorder="1" applyAlignment="1">
      <alignment vertical="center"/>
    </xf>
    <xf numFmtId="41" fontId="74" fillId="14" borderId="1" xfId="1" applyFont="1" applyFill="1" applyBorder="1" applyAlignment="1">
      <alignment vertical="center"/>
    </xf>
    <xf numFmtId="41" fontId="45" fillId="18" borderId="1" xfId="1" applyFont="1" applyFill="1" applyBorder="1" applyAlignment="1">
      <alignment vertical="center"/>
    </xf>
    <xf numFmtId="41" fontId="45" fillId="0" borderId="1" xfId="1" applyFont="1" applyBorder="1" applyAlignment="1">
      <alignment vertical="center"/>
    </xf>
    <xf numFmtId="0" fontId="45" fillId="18" borderId="1" xfId="0" applyFont="1" applyFill="1" applyBorder="1" applyAlignment="1">
      <alignment horizontal="center" vertical="center"/>
    </xf>
    <xf numFmtId="176" fontId="45" fillId="18" borderId="1" xfId="8" applyNumberFormat="1" applyFont="1" applyFill="1" applyBorder="1" applyAlignment="1">
      <alignment horizontal="center" vertical="center" wrapText="1"/>
    </xf>
    <xf numFmtId="41" fontId="45" fillId="18" borderId="1" xfId="0" applyNumberFormat="1" applyFont="1" applyFill="1" applyBorder="1">
      <alignment vertical="center"/>
    </xf>
    <xf numFmtId="0" fontId="15" fillId="18" borderId="1" xfId="0" applyFont="1" applyFill="1" applyBorder="1" applyAlignment="1">
      <alignment horizontal="center" vertical="center"/>
    </xf>
    <xf numFmtId="176" fontId="15" fillId="18" borderId="1" xfId="8" applyNumberFormat="1" applyFont="1" applyFill="1" applyBorder="1" applyAlignment="1">
      <alignment horizontal="center" vertical="center"/>
    </xf>
    <xf numFmtId="41" fontId="15" fillId="18" borderId="1" xfId="1" applyFont="1" applyFill="1" applyBorder="1" applyAlignment="1">
      <alignment vertical="center"/>
    </xf>
    <xf numFmtId="41" fontId="15" fillId="18" borderId="1" xfId="0" applyNumberFormat="1" applyFont="1" applyFill="1" applyBorder="1">
      <alignment vertical="center"/>
    </xf>
    <xf numFmtId="179" fontId="15" fillId="18"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79" fontId="45" fillId="18" borderId="1" xfId="0" applyNumberFormat="1" applyFont="1" applyFill="1" applyBorder="1" applyAlignment="1">
      <alignment horizontal="center" vertical="center"/>
    </xf>
    <xf numFmtId="176" fontId="45" fillId="18" borderId="1" xfId="8" applyNumberFormat="1" applyFont="1" applyFill="1" applyBorder="1" applyAlignment="1">
      <alignment horizontal="center" vertical="center"/>
    </xf>
    <xf numFmtId="180" fontId="45" fillId="18" borderId="1" xfId="1" applyNumberFormat="1" applyFont="1" applyFill="1" applyBorder="1" applyAlignment="1">
      <alignment horizontal="center" vertical="center"/>
    </xf>
    <xf numFmtId="181" fontId="45" fillId="18" borderId="1" xfId="1" applyNumberFormat="1" applyFont="1" applyFill="1" applyBorder="1" applyAlignment="1">
      <alignment horizontal="center" vertical="center"/>
    </xf>
    <xf numFmtId="0" fontId="13" fillId="14" borderId="1" xfId="0" applyFont="1" applyFill="1" applyBorder="1" applyAlignment="1">
      <alignment horizontal="center" vertical="center"/>
    </xf>
    <xf numFmtId="176" fontId="15" fillId="14" borderId="1" xfId="8" applyNumberFormat="1" applyFont="1" applyFill="1" applyBorder="1" applyAlignment="1">
      <alignment horizontal="center" vertical="center" wrapText="1"/>
    </xf>
    <xf numFmtId="0" fontId="45" fillId="14" borderId="1" xfId="0" applyFont="1" applyFill="1" applyBorder="1" applyAlignment="1">
      <alignment horizontal="center" vertical="center"/>
    </xf>
    <xf numFmtId="179" fontId="45" fillId="14" borderId="1" xfId="0" applyNumberFormat="1" applyFont="1" applyFill="1" applyBorder="1" applyAlignment="1">
      <alignment horizontal="center" vertical="center"/>
    </xf>
    <xf numFmtId="41" fontId="45" fillId="14" borderId="1" xfId="1" applyFont="1" applyFill="1" applyBorder="1" applyAlignment="1">
      <alignment vertical="center"/>
    </xf>
    <xf numFmtId="3" fontId="45" fillId="18" borderId="1" xfId="0" applyNumberFormat="1" applyFont="1" applyFill="1" applyBorder="1" applyAlignment="1">
      <alignment horizontal="center" vertical="center"/>
    </xf>
    <xf numFmtId="0" fontId="75" fillId="0" borderId="0" xfId="0" applyFont="1">
      <alignment vertical="center"/>
    </xf>
    <xf numFmtId="176" fontId="15" fillId="14" borderId="1" xfId="8" applyNumberFormat="1" applyFont="1" applyFill="1" applyBorder="1" applyAlignment="1">
      <alignment horizontal="center" vertical="center"/>
    </xf>
    <xf numFmtId="176" fontId="45" fillId="14" borderId="1" xfId="8" applyNumberFormat="1" applyFont="1" applyFill="1" applyBorder="1" applyAlignment="1">
      <alignment horizontal="center" vertical="center" wrapText="1"/>
    </xf>
    <xf numFmtId="176" fontId="45" fillId="14" borderId="1" xfId="8" applyNumberFormat="1" applyFont="1" applyFill="1" applyBorder="1" applyAlignment="1">
      <alignment horizontal="center" vertical="center"/>
    </xf>
    <xf numFmtId="180" fontId="45" fillId="14" borderId="1" xfId="1" applyNumberFormat="1" applyFont="1" applyFill="1" applyBorder="1" applyAlignment="1">
      <alignment horizontal="center" vertical="center"/>
    </xf>
    <xf numFmtId="181" fontId="45" fillId="14" borderId="1" xfId="1" applyNumberFormat="1" applyFont="1" applyFill="1" applyBorder="1" applyAlignment="1">
      <alignment horizontal="center" vertical="center"/>
    </xf>
    <xf numFmtId="3" fontId="45" fillId="14" borderId="1" xfId="0" applyNumberFormat="1" applyFont="1" applyFill="1" applyBorder="1" applyAlignment="1">
      <alignment horizontal="center" vertical="center"/>
    </xf>
    <xf numFmtId="0" fontId="76" fillId="0" borderId="0" xfId="0" applyFont="1">
      <alignment vertical="center"/>
    </xf>
    <xf numFmtId="0" fontId="77" fillId="0" borderId="0" xfId="0" applyFont="1">
      <alignment vertical="center"/>
    </xf>
    <xf numFmtId="0" fontId="78" fillId="0" borderId="0" xfId="0" applyFont="1">
      <alignment vertical="center"/>
    </xf>
  </cellXfs>
  <cellStyles count="9">
    <cellStyle name="백분율" xfId="3" builtinId="5"/>
    <cellStyle name="쉼표 [0]" xfId="1" builtinId="6"/>
    <cellStyle name="쉼표 [0] 2" xfId="6" xr:uid="{00000000-0005-0000-0000-000002000000}"/>
    <cellStyle name="쉼표 [0] 3" xfId="5" xr:uid="{00000000-0005-0000-0000-000003000000}"/>
    <cellStyle name="통화 [0]" xfId="4" builtinId="7"/>
    <cellStyle name="통화 [0]_특허청" xfId="8" xr:uid="{00000000-0005-0000-0000-000005000000}"/>
    <cellStyle name="표준" xfId="0" builtinId="0"/>
    <cellStyle name="표준 2" xfId="7" xr:uid="{00000000-0005-0000-0000-000007000000}"/>
    <cellStyle name="표준 9" xfId="2" xr:uid="{00000000-0005-0000-0000-000008000000}"/>
  </cellStyles>
  <dxfs count="1">
    <dxf>
      <font>
        <color rgb="FF9C0006"/>
      </font>
      <fill>
        <patternFill>
          <bgColor rgb="FFFFC7CE"/>
        </patternFill>
      </fill>
    </dxf>
  </dxfs>
  <tableStyles count="0" defaultTableStyle="TableStyleMedium9" defaultPivotStyle="PivotStyleLight16"/>
  <colors>
    <mruColors>
      <color rgb="FF0000FF"/>
      <color rgb="FFFFFFCC"/>
      <color rgb="FFEAF0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Z23"/>
  <sheetViews>
    <sheetView view="pageBreakPreview" topLeftCell="N1" zoomScale="94" zoomScaleNormal="100" zoomScaleSheetLayoutView="94" workbookViewId="0">
      <selection activeCell="AH24" sqref="AH24"/>
    </sheetView>
  </sheetViews>
  <sheetFormatPr defaultColWidth="9" defaultRowHeight="17.399999999999999"/>
  <cols>
    <col min="1" max="1" width="4.8984375" style="1" bestFit="1" customWidth="1"/>
    <col min="2" max="2" width="16.3984375" style="1" customWidth="1"/>
    <col min="3" max="3" width="13.3984375" style="1" customWidth="1"/>
    <col min="4" max="4" width="16.59765625" style="1" customWidth="1"/>
    <col min="5" max="5" width="32.59765625" style="1" customWidth="1"/>
    <col min="6" max="6" width="9" bestFit="1" customWidth="1"/>
    <col min="7" max="7" width="11.69921875" customWidth="1"/>
    <col min="8" max="8" width="9.09765625" customWidth="1"/>
    <col min="9" max="9" width="10.3984375" customWidth="1"/>
    <col min="10" max="10" width="13.09765625" bestFit="1" customWidth="1"/>
    <col min="11" max="11" width="9" customWidth="1"/>
    <col min="12" max="12" width="12" customWidth="1"/>
    <col min="13" max="13" width="16.3984375" customWidth="1"/>
    <col min="14" max="14" width="15.09765625" customWidth="1"/>
    <col min="15" max="15" width="15" customWidth="1"/>
    <col min="16" max="16" width="12.09765625" customWidth="1"/>
    <col min="17" max="17" width="14.69921875" customWidth="1"/>
    <col min="18" max="22" width="13.8984375" customWidth="1"/>
    <col min="23" max="23" width="16.69921875" customWidth="1"/>
  </cols>
  <sheetData>
    <row r="1" spans="1:26" ht="18" thickBot="1"/>
    <row r="2" spans="1:26" ht="28.2" thickBot="1">
      <c r="A2" s="296" t="s">
        <v>217</v>
      </c>
      <c r="B2" s="297"/>
      <c r="C2" s="297"/>
      <c r="D2" s="297"/>
      <c r="E2" s="297"/>
      <c r="F2" s="297"/>
      <c r="G2" s="297"/>
      <c r="H2" s="297"/>
      <c r="I2" s="297"/>
      <c r="J2" s="297"/>
      <c r="K2" s="297"/>
      <c r="L2" s="297"/>
      <c r="M2" s="297"/>
      <c r="N2" s="297"/>
      <c r="O2" s="297"/>
      <c r="P2" s="297"/>
      <c r="Q2" s="297"/>
      <c r="R2" s="297"/>
      <c r="S2" s="297"/>
      <c r="T2" s="297"/>
      <c r="U2" s="297"/>
      <c r="V2" s="297"/>
      <c r="W2" s="297"/>
    </row>
    <row r="4" spans="1:26" ht="18" thickBot="1"/>
    <row r="5" spans="1:26" ht="19.2" customHeight="1">
      <c r="A5" s="308" t="s">
        <v>126</v>
      </c>
      <c r="B5" s="311" t="s">
        <v>127</v>
      </c>
      <c r="C5" s="311" t="s">
        <v>128</v>
      </c>
      <c r="D5" s="311" t="s">
        <v>134</v>
      </c>
      <c r="E5" s="311" t="s">
        <v>129</v>
      </c>
      <c r="F5" s="315" t="s">
        <v>212</v>
      </c>
      <c r="G5" s="315"/>
      <c r="H5" s="315"/>
      <c r="I5" s="315"/>
      <c r="J5" s="315"/>
      <c r="K5" s="315"/>
      <c r="L5" s="315"/>
      <c r="M5" s="301" t="s">
        <v>211</v>
      </c>
      <c r="N5" s="301"/>
      <c r="O5" s="301"/>
      <c r="P5" s="301"/>
      <c r="Q5" s="301"/>
      <c r="R5" s="301"/>
      <c r="S5" s="301"/>
      <c r="T5" s="301"/>
      <c r="U5" s="301"/>
      <c r="V5" s="301"/>
      <c r="W5" s="301"/>
    </row>
    <row r="6" spans="1:26" ht="16.2" customHeight="1">
      <c r="A6" s="309"/>
      <c r="B6" s="312"/>
      <c r="C6" s="312"/>
      <c r="D6" s="312"/>
      <c r="E6" s="312"/>
      <c r="F6" s="305"/>
      <c r="G6" s="305"/>
      <c r="H6" s="305"/>
      <c r="I6" s="305"/>
      <c r="J6" s="305"/>
      <c r="K6" s="305"/>
      <c r="L6" s="305"/>
      <c r="M6" s="294" t="s">
        <v>9</v>
      </c>
      <c r="N6" s="295"/>
      <c r="O6" s="295"/>
      <c r="P6" s="295"/>
      <c r="Q6" s="295"/>
      <c r="R6" s="295"/>
      <c r="S6" s="295"/>
      <c r="T6" s="292" t="s">
        <v>153</v>
      </c>
      <c r="U6" s="292"/>
      <c r="V6" s="293"/>
      <c r="W6" s="302" t="s">
        <v>124</v>
      </c>
    </row>
    <row r="7" spans="1:26" ht="16.5" customHeight="1">
      <c r="A7" s="309"/>
      <c r="B7" s="312"/>
      <c r="C7" s="312"/>
      <c r="D7" s="312"/>
      <c r="E7" s="312"/>
      <c r="F7" s="305" t="s">
        <v>136</v>
      </c>
      <c r="G7" s="305" t="s">
        <v>1355</v>
      </c>
      <c r="H7" s="305" t="s">
        <v>139</v>
      </c>
      <c r="I7" s="319" t="s">
        <v>1357</v>
      </c>
      <c r="J7" s="305" t="s">
        <v>140</v>
      </c>
      <c r="K7" s="305" t="s">
        <v>137</v>
      </c>
      <c r="L7" s="305" t="s">
        <v>138</v>
      </c>
      <c r="M7" s="298" t="s">
        <v>154</v>
      </c>
      <c r="N7" s="299"/>
      <c r="O7" s="299"/>
      <c r="P7" s="299"/>
      <c r="Q7" s="299"/>
      <c r="R7" s="299"/>
      <c r="S7" s="299"/>
      <c r="T7" s="299"/>
      <c r="U7" s="300"/>
      <c r="V7" s="305" t="s">
        <v>131</v>
      </c>
      <c r="W7" s="303"/>
    </row>
    <row r="8" spans="1:26">
      <c r="A8" s="310"/>
      <c r="B8" s="313"/>
      <c r="C8" s="313"/>
      <c r="D8" s="313"/>
      <c r="E8" s="313"/>
      <c r="F8" s="305"/>
      <c r="G8" s="305"/>
      <c r="H8" s="305"/>
      <c r="I8" s="319"/>
      <c r="J8" s="305"/>
      <c r="K8" s="305"/>
      <c r="L8" s="305"/>
      <c r="M8" s="299" t="s">
        <v>132</v>
      </c>
      <c r="N8" s="299"/>
      <c r="O8" s="299"/>
      <c r="P8" s="299"/>
      <c r="Q8" s="299"/>
      <c r="R8" s="298" t="s">
        <v>53</v>
      </c>
      <c r="S8" s="299"/>
      <c r="T8" s="299"/>
      <c r="U8" s="300"/>
      <c r="V8" s="306"/>
      <c r="W8" s="303"/>
    </row>
    <row r="9" spans="1:26" ht="52.8" thickBot="1">
      <c r="A9" s="310"/>
      <c r="B9" s="313"/>
      <c r="C9" s="313"/>
      <c r="D9" s="313"/>
      <c r="E9" s="313"/>
      <c r="F9" s="314"/>
      <c r="G9" s="314"/>
      <c r="H9" s="314"/>
      <c r="I9" s="320"/>
      <c r="J9" s="314"/>
      <c r="K9" s="314"/>
      <c r="L9" s="314"/>
      <c r="M9" s="200" t="s">
        <v>163</v>
      </c>
      <c r="N9" s="201" t="s">
        <v>164</v>
      </c>
      <c r="O9" s="201" t="s">
        <v>204</v>
      </c>
      <c r="P9" s="202" t="s">
        <v>165</v>
      </c>
      <c r="Q9" s="202" t="s">
        <v>166</v>
      </c>
      <c r="R9" s="203" t="s">
        <v>133</v>
      </c>
      <c r="S9" s="204" t="s">
        <v>19</v>
      </c>
      <c r="T9" s="201" t="s">
        <v>168</v>
      </c>
      <c r="U9" s="205" t="s">
        <v>167</v>
      </c>
      <c r="V9" s="307"/>
      <c r="W9" s="304"/>
    </row>
    <row r="10" spans="1:26" ht="20.100000000000001" customHeight="1" thickTop="1">
      <c r="A10" s="56">
        <v>1</v>
      </c>
      <c r="B10" s="57" t="s">
        <v>213</v>
      </c>
      <c r="C10" s="57" t="s">
        <v>214</v>
      </c>
      <c r="D10" s="57" t="s">
        <v>135</v>
      </c>
      <c r="E10" s="57" t="s">
        <v>1340</v>
      </c>
      <c r="F10" s="206">
        <f>A프로그램!N27/'(총괄)신청내역표'!I10</f>
        <v>136985.69696969696</v>
      </c>
      <c r="G10" s="206">
        <v>20</v>
      </c>
      <c r="H10" s="206">
        <v>36</v>
      </c>
      <c r="I10" s="207">
        <v>660</v>
      </c>
      <c r="J10" s="207">
        <f>F10*I10</f>
        <v>90410560</v>
      </c>
      <c r="K10" s="208">
        <v>8</v>
      </c>
      <c r="L10" s="207">
        <f>J10/I10/K10</f>
        <v>17123.21212121212</v>
      </c>
      <c r="M10" s="209">
        <f>A프로그램!N5+A프로그램!N6</f>
        <v>3390000</v>
      </c>
      <c r="N10" s="210">
        <f>A프로그램!N8+A프로그램!N9</f>
        <v>13450560</v>
      </c>
      <c r="O10" s="210">
        <v>0</v>
      </c>
      <c r="P10" s="211">
        <f>SUM(A프로그램!N12:N16)</f>
        <v>52360000</v>
      </c>
      <c r="Q10" s="211">
        <f>SUM(A프로그램!N17:N23)</f>
        <v>21210000</v>
      </c>
      <c r="R10" s="212">
        <f>SUM('총 사업비 산출'!N34:N39)</f>
        <v>104800000</v>
      </c>
      <c r="S10" s="213">
        <f>'총 사업비 산출'!N40+'총 사업비 산출'!N41</f>
        <v>7200000</v>
      </c>
      <c r="T10" s="214">
        <f>'총 사업비 산출'!N44</f>
        <v>3000000</v>
      </c>
      <c r="U10" s="215">
        <f>SUM('총 사업비 산출'!N42:N43)+'총 사업비 산출'!N45+'총 사업비 산출'!N46</f>
        <v>27800000</v>
      </c>
      <c r="V10" s="216">
        <v>47600000</v>
      </c>
      <c r="W10" s="217">
        <f>SUM(M10:Q16)+SUM(R10:V10)</f>
        <v>992320000</v>
      </c>
      <c r="X10" s="2"/>
      <c r="Y10" s="2"/>
      <c r="Z10" s="2"/>
    </row>
    <row r="11" spans="1:26" ht="20.100000000000001" customHeight="1">
      <c r="A11" s="58">
        <v>2</v>
      </c>
      <c r="B11" s="57" t="s">
        <v>213</v>
      </c>
      <c r="C11" s="57" t="s">
        <v>216</v>
      </c>
      <c r="D11" s="55" t="s">
        <v>221</v>
      </c>
      <c r="E11" s="55" t="s">
        <v>1342</v>
      </c>
      <c r="F11" s="206">
        <f>B프로그램!N26/'(총괄)신청내역표'!I11</f>
        <v>183178.55555555556</v>
      </c>
      <c r="G11" s="206">
        <v>20</v>
      </c>
      <c r="H11" s="206">
        <v>36</v>
      </c>
      <c r="I11" s="207">
        <v>720</v>
      </c>
      <c r="J11" s="207">
        <f t="shared" ref="J11:J16" si="0">F11*I11</f>
        <v>131888560</v>
      </c>
      <c r="K11" s="218">
        <v>8</v>
      </c>
      <c r="L11" s="207">
        <f t="shared" ref="L11:L16" si="1">J11/I11/K11</f>
        <v>22897.319444444445</v>
      </c>
      <c r="M11" s="209">
        <f>B프로그램!N5</f>
        <v>2880000</v>
      </c>
      <c r="N11" s="210">
        <f>B프로그램!N8+B프로그램!N9</f>
        <v>63118560</v>
      </c>
      <c r="O11" s="210">
        <v>0</v>
      </c>
      <c r="P11" s="211">
        <f>SUM(B프로그램!N12:N16)</f>
        <v>44680000</v>
      </c>
      <c r="Q11" s="211">
        <f>SUM(B프로그램!N17:N23)</f>
        <v>21210000</v>
      </c>
      <c r="R11" s="219"/>
      <c r="S11" s="220"/>
      <c r="T11" s="221"/>
      <c r="U11" s="222"/>
      <c r="V11" s="223"/>
      <c r="W11" s="224"/>
      <c r="X11" s="2"/>
      <c r="Y11" s="2"/>
      <c r="Z11" s="2"/>
    </row>
    <row r="12" spans="1:26" ht="20.100000000000001" customHeight="1">
      <c r="A12" s="58">
        <v>3</v>
      </c>
      <c r="B12" s="57" t="s">
        <v>213</v>
      </c>
      <c r="C12" s="57" t="s">
        <v>218</v>
      </c>
      <c r="D12" s="55" t="s">
        <v>221</v>
      </c>
      <c r="E12" s="59" t="s">
        <v>1344</v>
      </c>
      <c r="F12" s="206">
        <f>C프로그램!N26/'(총괄)신청내역표'!I12</f>
        <v>155839.26666666666</v>
      </c>
      <c r="G12" s="199">
        <v>20</v>
      </c>
      <c r="H12" s="206">
        <v>36</v>
      </c>
      <c r="I12" s="207">
        <v>600</v>
      </c>
      <c r="J12" s="207">
        <f t="shared" si="0"/>
        <v>93503560</v>
      </c>
      <c r="K12" s="218">
        <v>8</v>
      </c>
      <c r="L12" s="207">
        <f t="shared" si="1"/>
        <v>19479.908333333333</v>
      </c>
      <c r="M12" s="209">
        <f>C프로그램!N5</f>
        <v>2880000</v>
      </c>
      <c r="N12" s="210">
        <f>C프로그램!N8+C프로그램!N9</f>
        <v>16233560</v>
      </c>
      <c r="O12" s="210">
        <v>0</v>
      </c>
      <c r="P12" s="211">
        <f>SUM(C프로그램!N12:N16)</f>
        <v>52360000</v>
      </c>
      <c r="Q12" s="211">
        <f>SUM(C프로그램!N17:N23)</f>
        <v>22030000</v>
      </c>
      <c r="R12" s="219"/>
      <c r="S12" s="220"/>
      <c r="T12" s="221"/>
      <c r="U12" s="222"/>
      <c r="V12" s="223"/>
      <c r="W12" s="224"/>
      <c r="X12" s="2"/>
      <c r="Y12" s="2"/>
      <c r="Z12" s="2"/>
    </row>
    <row r="13" spans="1:26" ht="20.100000000000001" customHeight="1">
      <c r="A13" s="58">
        <v>4</v>
      </c>
      <c r="B13" s="57" t="s">
        <v>213</v>
      </c>
      <c r="C13" s="57" t="s">
        <v>219</v>
      </c>
      <c r="D13" s="55" t="s">
        <v>221</v>
      </c>
      <c r="E13" s="59" t="s">
        <v>1346</v>
      </c>
      <c r="F13" s="206">
        <f>D프로그램!N26/'(총괄)신청내역표'!I13</f>
        <v>181818.2</v>
      </c>
      <c r="G13" s="206">
        <v>20</v>
      </c>
      <c r="H13" s="206">
        <v>36</v>
      </c>
      <c r="I13" s="207">
        <v>800</v>
      </c>
      <c r="J13" s="207">
        <f t="shared" si="0"/>
        <v>145454560</v>
      </c>
      <c r="K13" s="218">
        <v>8</v>
      </c>
      <c r="L13" s="207">
        <f t="shared" si="1"/>
        <v>22727.275000000001</v>
      </c>
      <c r="M13" s="209">
        <f>D프로그램!N5</f>
        <v>2880000</v>
      </c>
      <c r="N13" s="210">
        <f>D프로그램!N8+D프로그램!N9</f>
        <v>68184560</v>
      </c>
      <c r="O13" s="210">
        <v>0</v>
      </c>
      <c r="P13" s="211">
        <f>SUM(D프로그램!N12:N16)</f>
        <v>52360000</v>
      </c>
      <c r="Q13" s="211">
        <f>SUM(D프로그램!N17:N23)</f>
        <v>22030000</v>
      </c>
      <c r="R13" s="219"/>
      <c r="S13" s="220"/>
      <c r="T13" s="221"/>
      <c r="U13" s="222"/>
      <c r="V13" s="223"/>
      <c r="W13" s="224"/>
      <c r="X13" s="2"/>
      <c r="Y13" s="2"/>
      <c r="Z13" s="2"/>
    </row>
    <row r="14" spans="1:26" ht="20.100000000000001" customHeight="1">
      <c r="A14" s="58">
        <v>5</v>
      </c>
      <c r="B14" s="57" t="s">
        <v>213</v>
      </c>
      <c r="C14" s="57" t="s">
        <v>219</v>
      </c>
      <c r="D14" s="55" t="s">
        <v>222</v>
      </c>
      <c r="E14" s="59" t="s">
        <v>1348</v>
      </c>
      <c r="F14" s="206">
        <f>E프로그램!N26/'(총괄)신청내역표'!I14</f>
        <v>147180.5625</v>
      </c>
      <c r="G14" s="206">
        <v>20</v>
      </c>
      <c r="H14" s="206">
        <v>36</v>
      </c>
      <c r="I14" s="207">
        <v>640</v>
      </c>
      <c r="J14" s="207">
        <f t="shared" si="0"/>
        <v>94195560</v>
      </c>
      <c r="K14" s="218">
        <v>8</v>
      </c>
      <c r="L14" s="207">
        <f t="shared" si="1"/>
        <v>18397.5703125</v>
      </c>
      <c r="M14" s="209">
        <f>E프로그램!N5+E프로그램!N6</f>
        <v>3110000</v>
      </c>
      <c r="N14" s="210">
        <f>E프로그램!N8+E프로그램!N9</f>
        <v>16695560</v>
      </c>
      <c r="O14" s="210">
        <v>0</v>
      </c>
      <c r="P14" s="211">
        <f>SUM(E프로그램!N12:N16)</f>
        <v>52360000</v>
      </c>
      <c r="Q14" s="211">
        <f>SUM(E프로그램!N17:N23)</f>
        <v>22030000</v>
      </c>
      <c r="R14" s="219"/>
      <c r="S14" s="220"/>
      <c r="T14" s="221"/>
      <c r="U14" s="222"/>
      <c r="V14" s="223"/>
      <c r="W14" s="224"/>
      <c r="X14" s="2"/>
      <c r="Y14" s="2"/>
      <c r="Z14" s="2"/>
    </row>
    <row r="15" spans="1:26" ht="20.100000000000001" customHeight="1">
      <c r="A15" s="58">
        <v>6</v>
      </c>
      <c r="B15" s="57" t="s">
        <v>215</v>
      </c>
      <c r="C15" s="57" t="s">
        <v>220</v>
      </c>
      <c r="D15" s="55" t="s">
        <v>221</v>
      </c>
      <c r="E15" s="55" t="s">
        <v>1350</v>
      </c>
      <c r="F15" s="206">
        <f>F프로그램!N26/'(총괄)신청내역표'!I15</f>
        <v>303815.71428571426</v>
      </c>
      <c r="G15" s="206">
        <v>15</v>
      </c>
      <c r="H15" s="206">
        <v>37</v>
      </c>
      <c r="I15" s="207">
        <v>420</v>
      </c>
      <c r="J15" s="207">
        <f t="shared" si="0"/>
        <v>127602599.99999999</v>
      </c>
      <c r="K15" s="218">
        <v>12</v>
      </c>
      <c r="L15" s="207">
        <f t="shared" si="1"/>
        <v>25317.976190476187</v>
      </c>
      <c r="M15" s="209">
        <f>F프로그램!N5+F프로그램!N6+F프로그램!N7</f>
        <v>5610000</v>
      </c>
      <c r="N15" s="210">
        <f>F프로그램!N8+F프로그램!N9</f>
        <v>43382600</v>
      </c>
      <c r="O15" s="210">
        <v>0</v>
      </c>
      <c r="P15" s="211">
        <f>SUM(F프로그램!N12:N16)</f>
        <v>55160000</v>
      </c>
      <c r="Q15" s="211">
        <f>SUM(F프로그램!N17:N23)</f>
        <v>23450000</v>
      </c>
      <c r="R15" s="219"/>
      <c r="S15" s="220"/>
      <c r="T15" s="221"/>
      <c r="U15" s="222"/>
      <c r="V15" s="223"/>
      <c r="W15" s="224"/>
      <c r="X15" s="2"/>
      <c r="Y15" s="2"/>
      <c r="Z15" s="2"/>
    </row>
    <row r="16" spans="1:26" ht="20.100000000000001" customHeight="1" thickBot="1">
      <c r="A16" s="58">
        <v>7</v>
      </c>
      <c r="B16" s="57" t="s">
        <v>215</v>
      </c>
      <c r="C16" s="57" t="s">
        <v>220</v>
      </c>
      <c r="D16" s="55" t="s">
        <v>221</v>
      </c>
      <c r="E16" s="55" t="s">
        <v>1352</v>
      </c>
      <c r="F16" s="206">
        <f>G프로그램!N27/'(총괄)신청내역표'!I16</f>
        <v>330179.44444444444</v>
      </c>
      <c r="G16" s="206">
        <v>15</v>
      </c>
      <c r="H16" s="206">
        <v>36</v>
      </c>
      <c r="I16" s="207">
        <v>360</v>
      </c>
      <c r="J16" s="207">
        <f t="shared" si="0"/>
        <v>118864600</v>
      </c>
      <c r="K16" s="218">
        <v>12</v>
      </c>
      <c r="L16" s="207">
        <f t="shared" si="1"/>
        <v>27514.953703703704</v>
      </c>
      <c r="M16" s="225">
        <f>G프로그램!N5+G프로그램!N6+G프로그램!N7+G프로그램!N8</f>
        <v>5800000</v>
      </c>
      <c r="N16" s="226">
        <f>G프로그램!N9+G프로그램!N10</f>
        <v>35634600</v>
      </c>
      <c r="O16" s="226">
        <v>0</v>
      </c>
      <c r="P16" s="227">
        <f>SUM(G프로그램!N13:N17)</f>
        <v>53980000</v>
      </c>
      <c r="Q16" s="227">
        <f>SUM(G프로그램!N18:N24)</f>
        <v>23450000</v>
      </c>
      <c r="R16" s="228"/>
      <c r="S16" s="229"/>
      <c r="T16" s="230"/>
      <c r="U16" s="231"/>
      <c r="V16" s="232"/>
      <c r="W16" s="233"/>
      <c r="X16" s="2"/>
      <c r="Y16" s="2"/>
      <c r="Z16" s="2"/>
    </row>
    <row r="17" spans="1:26" ht="20.100000000000001" customHeight="1" thickBot="1">
      <c r="A17" s="316" t="s">
        <v>141</v>
      </c>
      <c r="B17" s="317"/>
      <c r="C17" s="317"/>
      <c r="D17" s="317"/>
      <c r="E17" s="318"/>
      <c r="F17" s="247">
        <f>AVERAGE(F10:F16)</f>
        <v>205571.0629174397</v>
      </c>
      <c r="G17" s="248">
        <f>SUM(G10:G16)</f>
        <v>130</v>
      </c>
      <c r="H17" s="248">
        <f>SUM(H10:H16)</f>
        <v>253</v>
      </c>
      <c r="I17" s="248">
        <f>SUM(I10:I16)</f>
        <v>4200</v>
      </c>
      <c r="J17" s="249">
        <f>SUM(J10:J16)</f>
        <v>801920000</v>
      </c>
      <c r="K17" s="249">
        <f t="shared" ref="K17:Q17" si="2">SUM(K10:K16)</f>
        <v>64</v>
      </c>
      <c r="L17" s="249">
        <f>AVERAGE(L10:L16)</f>
        <v>21922.602157952824</v>
      </c>
      <c r="M17" s="250">
        <f t="shared" si="2"/>
        <v>26550000</v>
      </c>
      <c r="N17" s="251">
        <f>SUM(N10:N16)</f>
        <v>256700000</v>
      </c>
      <c r="O17" s="251">
        <f t="shared" si="2"/>
        <v>0</v>
      </c>
      <c r="P17" s="251">
        <f t="shared" si="2"/>
        <v>363260000</v>
      </c>
      <c r="Q17" s="251">
        <f t="shared" si="2"/>
        <v>155410000</v>
      </c>
      <c r="R17" s="252">
        <f>R10</f>
        <v>104800000</v>
      </c>
      <c r="S17" s="252">
        <f t="shared" ref="S17:V17" si="3">S10</f>
        <v>7200000</v>
      </c>
      <c r="T17" s="252">
        <f t="shared" si="3"/>
        <v>3000000</v>
      </c>
      <c r="U17" s="252">
        <f t="shared" si="3"/>
        <v>27800000</v>
      </c>
      <c r="V17" s="252">
        <f t="shared" si="3"/>
        <v>47600000</v>
      </c>
      <c r="W17" s="253">
        <f>SUM(W10:W16)</f>
        <v>992320000</v>
      </c>
      <c r="X17" s="3"/>
      <c r="Y17" s="3"/>
      <c r="Z17" s="3"/>
    </row>
    <row r="20" spans="1:26">
      <c r="J20" s="198"/>
    </row>
    <row r="23" spans="1:26">
      <c r="E23"/>
    </row>
  </sheetData>
  <mergeCells count="23">
    <mergeCell ref="A17:E17"/>
    <mergeCell ref="E5:E9"/>
    <mergeCell ref="D5:D9"/>
    <mergeCell ref="H7:H9"/>
    <mergeCell ref="I7:I9"/>
    <mergeCell ref="F7:F9"/>
    <mergeCell ref="G7:G9"/>
    <mergeCell ref="T6:V6"/>
    <mergeCell ref="M6:S6"/>
    <mergeCell ref="A2:W2"/>
    <mergeCell ref="R8:U8"/>
    <mergeCell ref="M5:W5"/>
    <mergeCell ref="W6:W9"/>
    <mergeCell ref="M7:U7"/>
    <mergeCell ref="V7:V9"/>
    <mergeCell ref="M8:Q8"/>
    <mergeCell ref="A5:A9"/>
    <mergeCell ref="B5:B9"/>
    <mergeCell ref="C5:C9"/>
    <mergeCell ref="K7:K9"/>
    <mergeCell ref="L7:L9"/>
    <mergeCell ref="F5:L6"/>
    <mergeCell ref="J7:J9"/>
  </mergeCells>
  <phoneticPr fontId="2" type="noConversion"/>
  <conditionalFormatting sqref="L10 K11:L16">
    <cfRule type="cellIs" dxfId="0" priority="2" operator="greaterThan">
      <formula>100000000</formula>
    </cfRule>
  </conditionalFormatting>
  <dataValidations count="2">
    <dataValidation type="list" allowBlank="1" showInputMessage="1" showErrorMessage="1" sqref="D10:D16" xr:uid="{00000000-0002-0000-0000-000000000000}">
      <formula1>"디지털 리터러시,컴퓨팅사고력,인공지능소양,데이터소양"</formula1>
    </dataValidation>
    <dataValidation type="list" allowBlank="1" showInputMessage="1" showErrorMessage="1" sqref="B10:B16" xr:uid="{00000000-0002-0000-0000-000001000000}">
      <formula1>"기본,특화(AI 특화),특화(사각지대 집중 밀착형), 특화(특성화·마이스터고)"</formula1>
    </dataValidation>
  </dataValidations>
  <pageMargins left="0.7" right="0.7" top="0.75" bottom="0.75" header="0.3" footer="0.3"/>
  <pageSetup paperSize="9" scale="42" orientation="landscape" r:id="rId1"/>
  <colBreaks count="1" manualBreakCount="1">
    <brk id="23" max="1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243"/>
  <sheetViews>
    <sheetView zoomScale="85" zoomScaleNormal="85" workbookViewId="0">
      <selection sqref="A1:XFD1048576"/>
    </sheetView>
  </sheetViews>
  <sheetFormatPr defaultColWidth="9.09765625" defaultRowHeight="17.399999999999999"/>
  <cols>
    <col min="2" max="2" width="16.09765625" customWidth="1"/>
    <col min="3" max="3" width="15.09765625" customWidth="1"/>
    <col min="4" max="4" width="16" customWidth="1"/>
    <col min="5" max="5" width="20.3984375" bestFit="1" customWidth="1"/>
    <col min="6" max="6" width="20.09765625" bestFit="1" customWidth="1"/>
    <col min="7" max="7" width="11.59765625" style="90" bestFit="1" customWidth="1"/>
    <col min="8" max="8" width="20.3984375" bestFit="1" customWidth="1"/>
    <col min="9" max="9" width="9.3984375" bestFit="1" customWidth="1"/>
    <col min="10" max="10" width="28.69921875" bestFit="1" customWidth="1"/>
    <col min="11" max="11" width="20.3984375" bestFit="1" customWidth="1"/>
    <col min="12" max="12" width="12" customWidth="1"/>
    <col min="13" max="13" width="11.8984375" bestFit="1" customWidth="1"/>
    <col min="14" max="14" width="20.69921875" bestFit="1" customWidth="1"/>
    <col min="15" max="15" width="20.69921875" customWidth="1"/>
    <col min="16" max="16" width="38.69921875" bestFit="1" customWidth="1"/>
    <col min="18" max="18" width="12.3984375" bestFit="1" customWidth="1"/>
  </cols>
  <sheetData>
    <row r="1" spans="2:18" ht="27.6">
      <c r="B1" s="329" t="s">
        <v>71</v>
      </c>
      <c r="C1" s="330"/>
      <c r="D1" s="330"/>
      <c r="E1" s="330"/>
      <c r="F1" s="330"/>
      <c r="G1" s="330"/>
      <c r="H1" s="330"/>
      <c r="I1" s="330"/>
      <c r="J1" s="330"/>
      <c r="K1" s="330"/>
      <c r="L1" s="330"/>
      <c r="M1" s="330"/>
      <c r="N1" s="330"/>
      <c r="O1" s="330"/>
      <c r="P1" s="330"/>
      <c r="Q1" s="330"/>
    </row>
    <row r="3" spans="2:18" ht="18" thickBot="1">
      <c r="B3" s="23" t="s">
        <v>72</v>
      </c>
    </row>
    <row r="4" spans="2:18">
      <c r="B4" s="39" t="s">
        <v>60</v>
      </c>
      <c r="C4" s="331" t="s">
        <v>10</v>
      </c>
      <c r="D4" s="331"/>
      <c r="E4" s="331"/>
      <c r="F4" s="331" t="s">
        <v>11</v>
      </c>
      <c r="G4" s="331"/>
      <c r="H4" s="331"/>
      <c r="I4" s="331" t="s">
        <v>143</v>
      </c>
      <c r="J4" s="331"/>
      <c r="K4" s="331"/>
      <c r="L4" s="331" t="s">
        <v>80</v>
      </c>
      <c r="M4" s="331"/>
      <c r="N4" s="332"/>
      <c r="O4" s="91"/>
    </row>
    <row r="5" spans="2:18">
      <c r="B5" s="40" t="s">
        <v>79</v>
      </c>
      <c r="C5" s="22" t="s">
        <v>76</v>
      </c>
      <c r="D5" s="22" t="s">
        <v>77</v>
      </c>
      <c r="E5" s="22" t="s">
        <v>78</v>
      </c>
      <c r="F5" s="22" t="s">
        <v>76</v>
      </c>
      <c r="G5" s="92" t="s">
        <v>77</v>
      </c>
      <c r="H5" s="22" t="s">
        <v>78</v>
      </c>
      <c r="I5" s="22" t="s">
        <v>76</v>
      </c>
      <c r="J5" s="22" t="s">
        <v>77</v>
      </c>
      <c r="K5" s="22" t="s">
        <v>78</v>
      </c>
      <c r="L5" s="22" t="s">
        <v>76</v>
      </c>
      <c r="M5" s="22" t="s">
        <v>77</v>
      </c>
      <c r="N5" s="41" t="s">
        <v>78</v>
      </c>
      <c r="O5" s="93"/>
    </row>
    <row r="6" spans="2:18" ht="174">
      <c r="B6" s="42" t="s">
        <v>74</v>
      </c>
      <c r="C6" s="94" t="s">
        <v>289</v>
      </c>
      <c r="D6" s="95">
        <v>100000</v>
      </c>
      <c r="E6" s="95">
        <v>300000</v>
      </c>
      <c r="F6" s="94" t="s">
        <v>290</v>
      </c>
      <c r="G6" s="96">
        <v>60000</v>
      </c>
      <c r="H6" s="95">
        <v>180000</v>
      </c>
      <c r="I6" s="95" t="s">
        <v>291</v>
      </c>
      <c r="J6" s="95">
        <v>20000</v>
      </c>
      <c r="K6" s="95">
        <v>60000</v>
      </c>
      <c r="L6" s="95" t="s">
        <v>292</v>
      </c>
      <c r="M6" s="95" t="s">
        <v>9</v>
      </c>
      <c r="N6" s="97">
        <v>1000000</v>
      </c>
      <c r="O6" s="98"/>
    </row>
    <row r="7" spans="2:18" ht="174.6" thickBot="1">
      <c r="B7" s="42" t="s">
        <v>75</v>
      </c>
      <c r="C7" s="94" t="s">
        <v>293</v>
      </c>
      <c r="D7" s="95">
        <v>75000</v>
      </c>
      <c r="E7" s="95">
        <v>300000</v>
      </c>
      <c r="F7" s="94" t="s">
        <v>294</v>
      </c>
      <c r="G7" s="96">
        <v>45000</v>
      </c>
      <c r="H7" s="95">
        <v>180000</v>
      </c>
      <c r="I7" s="99" t="s">
        <v>295</v>
      </c>
      <c r="J7" s="99">
        <v>15000</v>
      </c>
      <c r="K7" s="99">
        <v>60000</v>
      </c>
      <c r="L7" s="95" t="s">
        <v>296</v>
      </c>
      <c r="M7" s="95">
        <v>400000</v>
      </c>
      <c r="N7" s="97">
        <v>800000</v>
      </c>
      <c r="O7" s="98"/>
    </row>
    <row r="8" spans="2:18" ht="139.80000000000001" thickBot="1">
      <c r="B8" s="44" t="s">
        <v>73</v>
      </c>
      <c r="C8" s="100" t="s">
        <v>297</v>
      </c>
      <c r="D8" s="99">
        <v>50000</v>
      </c>
      <c r="E8" s="99">
        <v>300000</v>
      </c>
      <c r="F8" s="100" t="s">
        <v>298</v>
      </c>
      <c r="G8" s="101">
        <v>30000</v>
      </c>
      <c r="H8" s="99">
        <v>180000</v>
      </c>
      <c r="I8" s="99"/>
      <c r="J8" s="99"/>
      <c r="K8" s="99"/>
      <c r="L8" s="99"/>
      <c r="M8" s="99"/>
      <c r="N8" s="102"/>
      <c r="O8" s="98"/>
    </row>
    <row r="10" spans="2:18">
      <c r="B10" s="103" t="s">
        <v>110</v>
      </c>
    </row>
    <row r="11" spans="2:18" ht="18" thickBot="1">
      <c r="B11" s="18" t="s">
        <v>55</v>
      </c>
      <c r="C11" s="18"/>
      <c r="D11" s="18"/>
      <c r="E11" s="18"/>
      <c r="F11" s="18"/>
      <c r="G11" s="104"/>
      <c r="H11" s="19"/>
      <c r="I11" s="19"/>
      <c r="J11" s="19"/>
      <c r="K11" s="19"/>
      <c r="L11" s="19"/>
      <c r="M11" s="19"/>
      <c r="N11" s="19"/>
      <c r="O11" s="19"/>
      <c r="P11" s="19"/>
      <c r="Q11" s="19"/>
    </row>
    <row r="12" spans="2:18">
      <c r="B12" s="327" t="s">
        <v>56</v>
      </c>
      <c r="C12" s="323" t="s">
        <v>70</v>
      </c>
      <c r="D12" s="323" t="s">
        <v>69</v>
      </c>
      <c r="E12" s="323" t="s">
        <v>79</v>
      </c>
      <c r="F12" s="323" t="s">
        <v>299</v>
      </c>
      <c r="G12" s="325" t="s">
        <v>57</v>
      </c>
      <c r="H12" s="323" t="s">
        <v>58</v>
      </c>
      <c r="I12" s="323"/>
      <c r="J12" s="323" t="s">
        <v>300</v>
      </c>
      <c r="K12" s="323"/>
      <c r="L12" s="323"/>
      <c r="M12" s="323" t="s">
        <v>113</v>
      </c>
      <c r="N12" s="323" t="s">
        <v>301</v>
      </c>
      <c r="O12" s="333" t="s">
        <v>142</v>
      </c>
      <c r="P12" s="323" t="s">
        <v>59</v>
      </c>
      <c r="Q12" s="323" t="s">
        <v>82</v>
      </c>
      <c r="R12" s="321" t="s">
        <v>111</v>
      </c>
    </row>
    <row r="13" spans="2:18" ht="18" thickBot="1">
      <c r="B13" s="328"/>
      <c r="C13" s="324"/>
      <c r="D13" s="324"/>
      <c r="E13" s="324"/>
      <c r="F13" s="324"/>
      <c r="G13" s="326"/>
      <c r="H13" s="105" t="s">
        <v>61</v>
      </c>
      <c r="I13" s="105" t="s">
        <v>62</v>
      </c>
      <c r="J13" s="105" t="s">
        <v>63</v>
      </c>
      <c r="K13" s="105" t="s">
        <v>60</v>
      </c>
      <c r="L13" s="105" t="s">
        <v>64</v>
      </c>
      <c r="M13" s="324"/>
      <c r="N13" s="324"/>
      <c r="O13" s="334"/>
      <c r="P13" s="324"/>
      <c r="Q13" s="324"/>
      <c r="R13" s="322"/>
    </row>
    <row r="14" spans="2:18" ht="17.25" customHeight="1">
      <c r="B14" s="106">
        <v>1</v>
      </c>
      <c r="C14" s="107" t="s">
        <v>302</v>
      </c>
      <c r="D14" s="108" t="s">
        <v>303</v>
      </c>
      <c r="E14" s="107" t="s">
        <v>304</v>
      </c>
      <c r="F14" s="107" t="s">
        <v>305</v>
      </c>
      <c r="G14" s="109">
        <v>19730325</v>
      </c>
      <c r="H14" s="107" t="s">
        <v>306</v>
      </c>
      <c r="I14" s="107" t="s">
        <v>307</v>
      </c>
      <c r="J14" s="107" t="s">
        <v>308</v>
      </c>
      <c r="K14" s="107" t="s">
        <v>309</v>
      </c>
      <c r="L14" s="107" t="s">
        <v>310</v>
      </c>
      <c r="M14" s="107" t="s">
        <v>311</v>
      </c>
      <c r="N14" s="107">
        <v>26</v>
      </c>
      <c r="O14" s="110" t="s">
        <v>312</v>
      </c>
      <c r="P14" s="110" t="s">
        <v>313</v>
      </c>
      <c r="Q14" s="111">
        <v>8</v>
      </c>
      <c r="R14" s="112" t="s">
        <v>314</v>
      </c>
    </row>
    <row r="15" spans="2:18">
      <c r="B15" s="113">
        <v>2</v>
      </c>
      <c r="C15" s="114" t="s">
        <v>302</v>
      </c>
      <c r="D15" s="115" t="s">
        <v>303</v>
      </c>
      <c r="E15" s="114" t="s">
        <v>315</v>
      </c>
      <c r="F15" s="114" t="s">
        <v>316</v>
      </c>
      <c r="G15" s="116">
        <v>19750722</v>
      </c>
      <c r="H15" s="114" t="s">
        <v>317</v>
      </c>
      <c r="I15" s="114" t="s">
        <v>307</v>
      </c>
      <c r="J15" s="114" t="s">
        <v>318</v>
      </c>
      <c r="K15" s="114" t="s">
        <v>319</v>
      </c>
      <c r="L15" s="114" t="s">
        <v>320</v>
      </c>
      <c r="M15" s="114" t="s">
        <v>321</v>
      </c>
      <c r="N15" s="114">
        <v>6</v>
      </c>
      <c r="O15" s="117" t="s">
        <v>312</v>
      </c>
      <c r="P15" s="114" t="s">
        <v>322</v>
      </c>
      <c r="Q15" s="118">
        <v>8</v>
      </c>
      <c r="R15" s="43" t="s">
        <v>314</v>
      </c>
    </row>
    <row r="16" spans="2:18">
      <c r="B16" s="113">
        <v>3</v>
      </c>
      <c r="C16" s="114" t="s">
        <v>302</v>
      </c>
      <c r="D16" s="115" t="s">
        <v>303</v>
      </c>
      <c r="E16" s="114" t="s">
        <v>304</v>
      </c>
      <c r="F16" s="114" t="s">
        <v>323</v>
      </c>
      <c r="G16" s="116">
        <v>19750105</v>
      </c>
      <c r="H16" s="114" t="s">
        <v>324</v>
      </c>
      <c r="I16" s="114" t="s">
        <v>307</v>
      </c>
      <c r="J16" s="114" t="s">
        <v>325</v>
      </c>
      <c r="K16" s="114" t="s">
        <v>319</v>
      </c>
      <c r="L16" s="114" t="s">
        <v>326</v>
      </c>
      <c r="M16" s="114" t="s">
        <v>321</v>
      </c>
      <c r="N16" s="114">
        <v>24</v>
      </c>
      <c r="O16" s="117" t="s">
        <v>312</v>
      </c>
      <c r="P16" s="114" t="s">
        <v>327</v>
      </c>
      <c r="Q16" s="118">
        <v>8</v>
      </c>
      <c r="R16" s="43" t="s">
        <v>314</v>
      </c>
    </row>
    <row r="17" spans="2:18">
      <c r="B17" s="113">
        <v>4</v>
      </c>
      <c r="C17" s="114" t="s">
        <v>328</v>
      </c>
      <c r="D17" s="115" t="s">
        <v>303</v>
      </c>
      <c r="E17" s="114" t="s">
        <v>304</v>
      </c>
      <c r="F17" s="114" t="s">
        <v>329</v>
      </c>
      <c r="G17" s="116">
        <v>19670217</v>
      </c>
      <c r="H17" s="114" t="s">
        <v>330</v>
      </c>
      <c r="I17" s="114" t="s">
        <v>307</v>
      </c>
      <c r="J17" s="114" t="s">
        <v>331</v>
      </c>
      <c r="K17" s="114" t="s">
        <v>309</v>
      </c>
      <c r="L17" s="114" t="s">
        <v>332</v>
      </c>
      <c r="M17" s="114" t="s">
        <v>333</v>
      </c>
      <c r="N17" s="114">
        <v>31</v>
      </c>
      <c r="O17" s="117" t="s">
        <v>312</v>
      </c>
      <c r="P17" s="114" t="s">
        <v>334</v>
      </c>
      <c r="Q17" s="118">
        <v>8</v>
      </c>
      <c r="R17" s="43" t="s">
        <v>314</v>
      </c>
    </row>
    <row r="18" spans="2:18">
      <c r="B18" s="113">
        <v>5</v>
      </c>
      <c r="C18" s="114" t="s">
        <v>302</v>
      </c>
      <c r="D18" s="115" t="s">
        <v>303</v>
      </c>
      <c r="E18" s="114" t="s">
        <v>315</v>
      </c>
      <c r="F18" s="114" t="s">
        <v>335</v>
      </c>
      <c r="G18" s="116">
        <v>19831207</v>
      </c>
      <c r="H18" s="114" t="s">
        <v>336</v>
      </c>
      <c r="I18" s="114" t="s">
        <v>307</v>
      </c>
      <c r="J18" s="114" t="s">
        <v>337</v>
      </c>
      <c r="K18" s="114" t="s">
        <v>309</v>
      </c>
      <c r="L18" s="114" t="s">
        <v>338</v>
      </c>
      <c r="M18" s="114" t="s">
        <v>339</v>
      </c>
      <c r="N18" s="114">
        <v>10</v>
      </c>
      <c r="O18" s="117" t="s">
        <v>312</v>
      </c>
      <c r="P18" s="114" t="s">
        <v>340</v>
      </c>
      <c r="Q18" s="118">
        <v>8</v>
      </c>
      <c r="R18" s="43" t="s">
        <v>314</v>
      </c>
    </row>
    <row r="19" spans="2:18">
      <c r="B19" s="113">
        <v>6</v>
      </c>
      <c r="C19" s="114" t="s">
        <v>302</v>
      </c>
      <c r="D19" s="115" t="s">
        <v>303</v>
      </c>
      <c r="E19" s="114" t="s">
        <v>304</v>
      </c>
      <c r="F19" s="114" t="s">
        <v>341</v>
      </c>
      <c r="G19" s="116">
        <v>19840423</v>
      </c>
      <c r="H19" s="114" t="s">
        <v>342</v>
      </c>
      <c r="I19" s="114" t="s">
        <v>307</v>
      </c>
      <c r="J19" s="114" t="s">
        <v>308</v>
      </c>
      <c r="K19" s="114" t="s">
        <v>309</v>
      </c>
      <c r="L19" s="114" t="s">
        <v>310</v>
      </c>
      <c r="M19" s="114" t="s">
        <v>321</v>
      </c>
      <c r="N19" s="114">
        <v>16</v>
      </c>
      <c r="O19" s="117" t="s">
        <v>312</v>
      </c>
      <c r="P19" s="114" t="s">
        <v>343</v>
      </c>
      <c r="Q19" s="118">
        <v>8</v>
      </c>
      <c r="R19" s="43" t="s">
        <v>314</v>
      </c>
    </row>
    <row r="20" spans="2:18">
      <c r="B20" s="113">
        <v>7</v>
      </c>
      <c r="C20" s="114" t="s">
        <v>302</v>
      </c>
      <c r="D20" s="115" t="s">
        <v>303</v>
      </c>
      <c r="E20" s="114" t="s">
        <v>304</v>
      </c>
      <c r="F20" s="114" t="s">
        <v>344</v>
      </c>
      <c r="G20" s="116">
        <v>19890527</v>
      </c>
      <c r="H20" s="114" t="s">
        <v>345</v>
      </c>
      <c r="I20" s="114" t="s">
        <v>307</v>
      </c>
      <c r="J20" s="114" t="s">
        <v>308</v>
      </c>
      <c r="K20" s="114" t="s">
        <v>309</v>
      </c>
      <c r="L20" s="114" t="s">
        <v>310</v>
      </c>
      <c r="M20" s="114" t="s">
        <v>346</v>
      </c>
      <c r="N20" s="114">
        <v>6</v>
      </c>
      <c r="O20" s="117" t="s">
        <v>312</v>
      </c>
      <c r="P20" s="114" t="s">
        <v>340</v>
      </c>
      <c r="Q20" s="118">
        <v>8</v>
      </c>
      <c r="R20" s="43" t="s">
        <v>314</v>
      </c>
    </row>
    <row r="21" spans="2:18">
      <c r="B21" s="113">
        <v>8</v>
      </c>
      <c r="C21" s="114" t="s">
        <v>328</v>
      </c>
      <c r="D21" s="115" t="s">
        <v>303</v>
      </c>
      <c r="E21" s="114" t="s">
        <v>304</v>
      </c>
      <c r="F21" s="114" t="s">
        <v>347</v>
      </c>
      <c r="G21" s="116">
        <v>19770622</v>
      </c>
      <c r="H21" s="114" t="s">
        <v>348</v>
      </c>
      <c r="I21" s="114" t="s">
        <v>307</v>
      </c>
      <c r="J21" s="114" t="s">
        <v>349</v>
      </c>
      <c r="K21" s="114" t="s">
        <v>309</v>
      </c>
      <c r="L21" s="114" t="s">
        <v>350</v>
      </c>
      <c r="M21" s="114" t="s">
        <v>351</v>
      </c>
      <c r="N21" s="114">
        <v>21</v>
      </c>
      <c r="O21" s="117" t="s">
        <v>312</v>
      </c>
      <c r="P21" s="114" t="s">
        <v>352</v>
      </c>
      <c r="Q21" s="118">
        <v>8</v>
      </c>
      <c r="R21" s="43" t="s">
        <v>314</v>
      </c>
    </row>
    <row r="22" spans="2:18">
      <c r="B22" s="113">
        <v>9</v>
      </c>
      <c r="C22" s="114" t="s">
        <v>328</v>
      </c>
      <c r="D22" s="115" t="s">
        <v>303</v>
      </c>
      <c r="E22" s="114" t="s">
        <v>304</v>
      </c>
      <c r="F22" s="114" t="s">
        <v>353</v>
      </c>
      <c r="G22" s="116">
        <v>19770428</v>
      </c>
      <c r="H22" s="114" t="s">
        <v>354</v>
      </c>
      <c r="I22" s="114" t="s">
        <v>307</v>
      </c>
      <c r="J22" s="114" t="s">
        <v>308</v>
      </c>
      <c r="K22" s="114" t="s">
        <v>309</v>
      </c>
      <c r="L22" s="114" t="s">
        <v>355</v>
      </c>
      <c r="M22" s="114" t="s">
        <v>356</v>
      </c>
      <c r="N22" s="114">
        <v>11</v>
      </c>
      <c r="O22" s="117" t="s">
        <v>312</v>
      </c>
      <c r="P22" s="114" t="s">
        <v>340</v>
      </c>
      <c r="Q22" s="118">
        <v>8</v>
      </c>
      <c r="R22" s="43" t="s">
        <v>314</v>
      </c>
    </row>
    <row r="23" spans="2:18">
      <c r="B23" s="113">
        <v>10</v>
      </c>
      <c r="C23" s="114" t="s">
        <v>328</v>
      </c>
      <c r="D23" s="115" t="s">
        <v>303</v>
      </c>
      <c r="E23" s="114" t="s">
        <v>304</v>
      </c>
      <c r="F23" s="114" t="s">
        <v>357</v>
      </c>
      <c r="G23" s="116">
        <v>19900905</v>
      </c>
      <c r="H23" s="114" t="s">
        <v>358</v>
      </c>
      <c r="I23" s="114" t="s">
        <v>307</v>
      </c>
      <c r="J23" s="114" t="s">
        <v>359</v>
      </c>
      <c r="K23" s="114" t="s">
        <v>309</v>
      </c>
      <c r="L23" s="114" t="s">
        <v>360</v>
      </c>
      <c r="M23" s="114" t="s">
        <v>361</v>
      </c>
      <c r="N23" s="114">
        <v>11</v>
      </c>
      <c r="O23" s="117" t="s">
        <v>312</v>
      </c>
      <c r="P23" s="114" t="s">
        <v>362</v>
      </c>
      <c r="Q23" s="118">
        <v>8</v>
      </c>
      <c r="R23" s="43" t="s">
        <v>314</v>
      </c>
    </row>
    <row r="24" spans="2:18">
      <c r="B24" s="113">
        <v>11</v>
      </c>
      <c r="C24" s="114" t="s">
        <v>302</v>
      </c>
      <c r="D24" s="115" t="s">
        <v>363</v>
      </c>
      <c r="E24" s="114" t="s">
        <v>304</v>
      </c>
      <c r="F24" s="114" t="s">
        <v>364</v>
      </c>
      <c r="G24" s="116">
        <v>19901123</v>
      </c>
      <c r="H24" s="114" t="s">
        <v>365</v>
      </c>
      <c r="I24" s="114" t="s">
        <v>307</v>
      </c>
      <c r="J24" s="114" t="s">
        <v>308</v>
      </c>
      <c r="K24" s="114" t="s">
        <v>309</v>
      </c>
      <c r="L24" s="114" t="s">
        <v>310</v>
      </c>
      <c r="M24" s="114" t="s">
        <v>321</v>
      </c>
      <c r="N24" s="114">
        <v>7</v>
      </c>
      <c r="O24" s="117" t="s">
        <v>312</v>
      </c>
      <c r="P24" s="114" t="s">
        <v>340</v>
      </c>
      <c r="Q24" s="118">
        <v>8</v>
      </c>
      <c r="R24" s="43" t="s">
        <v>314</v>
      </c>
    </row>
    <row r="25" spans="2:18">
      <c r="B25" s="113">
        <v>12</v>
      </c>
      <c r="C25" s="114" t="s">
        <v>302</v>
      </c>
      <c r="D25" s="115" t="s">
        <v>363</v>
      </c>
      <c r="E25" s="114" t="s">
        <v>304</v>
      </c>
      <c r="F25" s="114" t="s">
        <v>366</v>
      </c>
      <c r="G25" s="116">
        <v>19760526</v>
      </c>
      <c r="H25" s="114" t="s">
        <v>367</v>
      </c>
      <c r="I25" s="114" t="s">
        <v>368</v>
      </c>
      <c r="J25" s="114" t="s">
        <v>369</v>
      </c>
      <c r="K25" s="114" t="s">
        <v>319</v>
      </c>
      <c r="L25" s="114" t="s">
        <v>370</v>
      </c>
      <c r="M25" s="114" t="s">
        <v>371</v>
      </c>
      <c r="N25" s="114">
        <v>30</v>
      </c>
      <c r="O25" s="117" t="s">
        <v>312</v>
      </c>
      <c r="P25" s="114" t="s">
        <v>372</v>
      </c>
      <c r="Q25" s="118">
        <v>8</v>
      </c>
      <c r="R25" s="43" t="s">
        <v>314</v>
      </c>
    </row>
    <row r="26" spans="2:18">
      <c r="B26" s="113">
        <v>13</v>
      </c>
      <c r="C26" s="114" t="s">
        <v>302</v>
      </c>
      <c r="D26" s="115" t="s">
        <v>363</v>
      </c>
      <c r="E26" s="114" t="s">
        <v>304</v>
      </c>
      <c r="F26" s="114" t="s">
        <v>373</v>
      </c>
      <c r="G26" s="116">
        <v>19790119</v>
      </c>
      <c r="H26" s="114" t="s">
        <v>374</v>
      </c>
      <c r="I26" s="114" t="s">
        <v>307</v>
      </c>
      <c r="J26" s="114" t="s">
        <v>375</v>
      </c>
      <c r="K26" s="114" t="s">
        <v>319</v>
      </c>
      <c r="L26" s="114" t="s">
        <v>338</v>
      </c>
      <c r="M26" s="114" t="s">
        <v>376</v>
      </c>
      <c r="N26" s="114">
        <v>15</v>
      </c>
      <c r="O26" s="117" t="s">
        <v>312</v>
      </c>
      <c r="P26" s="114" t="s">
        <v>377</v>
      </c>
      <c r="Q26" s="118">
        <v>8</v>
      </c>
      <c r="R26" s="43" t="s">
        <v>314</v>
      </c>
    </row>
    <row r="27" spans="2:18">
      <c r="B27" s="113">
        <v>14</v>
      </c>
      <c r="C27" s="114" t="s">
        <v>302</v>
      </c>
      <c r="D27" s="115" t="s">
        <v>363</v>
      </c>
      <c r="E27" s="114" t="s">
        <v>304</v>
      </c>
      <c r="F27" s="114" t="s">
        <v>378</v>
      </c>
      <c r="G27" s="116">
        <v>19870522</v>
      </c>
      <c r="H27" s="114" t="s">
        <v>379</v>
      </c>
      <c r="I27" s="114" t="s">
        <v>307</v>
      </c>
      <c r="J27" s="114" t="s">
        <v>308</v>
      </c>
      <c r="K27" s="114" t="s">
        <v>309</v>
      </c>
      <c r="L27" s="114" t="s">
        <v>310</v>
      </c>
      <c r="M27" s="114" t="s">
        <v>380</v>
      </c>
      <c r="N27" s="114">
        <v>4</v>
      </c>
      <c r="O27" s="117" t="s">
        <v>312</v>
      </c>
      <c r="P27" s="114" t="s">
        <v>381</v>
      </c>
      <c r="Q27" s="118">
        <v>8</v>
      </c>
      <c r="R27" s="43" t="s">
        <v>314</v>
      </c>
    </row>
    <row r="28" spans="2:18">
      <c r="B28" s="113">
        <v>15</v>
      </c>
      <c r="C28" s="114" t="s">
        <v>302</v>
      </c>
      <c r="D28" s="115" t="s">
        <v>363</v>
      </c>
      <c r="E28" s="114" t="s">
        <v>304</v>
      </c>
      <c r="F28" s="114" t="s">
        <v>382</v>
      </c>
      <c r="G28" s="116">
        <v>19910919</v>
      </c>
      <c r="H28" s="114" t="s">
        <v>383</v>
      </c>
      <c r="I28" s="114" t="s">
        <v>307</v>
      </c>
      <c r="J28" s="114" t="s">
        <v>384</v>
      </c>
      <c r="K28" s="114" t="s">
        <v>319</v>
      </c>
      <c r="L28" s="114" t="s">
        <v>385</v>
      </c>
      <c r="M28" s="119" t="s">
        <v>386</v>
      </c>
      <c r="N28" s="114">
        <v>11</v>
      </c>
      <c r="O28" s="117" t="s">
        <v>312</v>
      </c>
      <c r="P28" s="114" t="s">
        <v>387</v>
      </c>
      <c r="Q28" s="118">
        <v>8</v>
      </c>
      <c r="R28" s="43" t="s">
        <v>314</v>
      </c>
    </row>
    <row r="29" spans="2:18">
      <c r="B29" s="113">
        <v>16</v>
      </c>
      <c r="C29" s="114" t="s">
        <v>302</v>
      </c>
      <c r="D29" s="115" t="s">
        <v>363</v>
      </c>
      <c r="E29" s="114" t="s">
        <v>304</v>
      </c>
      <c r="F29" s="114" t="s">
        <v>388</v>
      </c>
      <c r="G29" s="116">
        <v>19891007</v>
      </c>
      <c r="H29" s="114" t="s">
        <v>389</v>
      </c>
      <c r="I29" s="114" t="s">
        <v>307</v>
      </c>
      <c r="J29" s="114" t="s">
        <v>390</v>
      </c>
      <c r="K29" s="114" t="s">
        <v>319</v>
      </c>
      <c r="L29" s="114" t="s">
        <v>391</v>
      </c>
      <c r="M29" s="114" t="s">
        <v>392</v>
      </c>
      <c r="N29" s="114">
        <v>4</v>
      </c>
      <c r="O29" s="117" t="s">
        <v>312</v>
      </c>
      <c r="P29" s="114" t="s">
        <v>393</v>
      </c>
      <c r="Q29" s="118">
        <v>8</v>
      </c>
      <c r="R29" s="43" t="s">
        <v>314</v>
      </c>
    </row>
    <row r="30" spans="2:18">
      <c r="B30" s="113">
        <v>17</v>
      </c>
      <c r="C30" s="114" t="s">
        <v>302</v>
      </c>
      <c r="D30" s="115" t="s">
        <v>363</v>
      </c>
      <c r="E30" s="114" t="s">
        <v>315</v>
      </c>
      <c r="F30" s="114" t="s">
        <v>394</v>
      </c>
      <c r="G30" s="116">
        <v>19831108</v>
      </c>
      <c r="H30" s="114" t="s">
        <v>395</v>
      </c>
      <c r="I30" s="114" t="s">
        <v>307</v>
      </c>
      <c r="J30" s="114" t="s">
        <v>396</v>
      </c>
      <c r="K30" s="114" t="s">
        <v>319</v>
      </c>
      <c r="L30" s="114" t="s">
        <v>397</v>
      </c>
      <c r="M30" s="114" t="s">
        <v>398</v>
      </c>
      <c r="N30" s="114">
        <v>11</v>
      </c>
      <c r="O30" s="117" t="s">
        <v>312</v>
      </c>
      <c r="P30" s="114" t="s">
        <v>399</v>
      </c>
      <c r="Q30" s="118">
        <v>8</v>
      </c>
      <c r="R30" s="43" t="s">
        <v>314</v>
      </c>
    </row>
    <row r="31" spans="2:18">
      <c r="B31" s="113">
        <v>18</v>
      </c>
      <c r="C31" s="114" t="s">
        <v>302</v>
      </c>
      <c r="D31" s="115" t="s">
        <v>363</v>
      </c>
      <c r="E31" s="114" t="s">
        <v>304</v>
      </c>
      <c r="F31" s="114" t="s">
        <v>400</v>
      </c>
      <c r="G31" s="116">
        <v>19810610</v>
      </c>
      <c r="H31" s="114" t="s">
        <v>401</v>
      </c>
      <c r="I31" s="114" t="s">
        <v>307</v>
      </c>
      <c r="J31" s="114" t="s">
        <v>390</v>
      </c>
      <c r="K31" s="114" t="s">
        <v>319</v>
      </c>
      <c r="L31" s="114" t="s">
        <v>402</v>
      </c>
      <c r="M31" s="114" t="s">
        <v>403</v>
      </c>
      <c r="N31" s="114">
        <v>15</v>
      </c>
      <c r="O31" s="117" t="s">
        <v>312</v>
      </c>
      <c r="P31" s="114" t="s">
        <v>404</v>
      </c>
      <c r="Q31" s="118">
        <v>8</v>
      </c>
      <c r="R31" s="43" t="s">
        <v>314</v>
      </c>
    </row>
    <row r="32" spans="2:18">
      <c r="B32" s="113">
        <v>19</v>
      </c>
      <c r="C32" s="114" t="s">
        <v>302</v>
      </c>
      <c r="D32" s="115" t="s">
        <v>363</v>
      </c>
      <c r="E32" s="114" t="s">
        <v>304</v>
      </c>
      <c r="F32" s="114" t="s">
        <v>405</v>
      </c>
      <c r="G32" s="116">
        <v>19840110</v>
      </c>
      <c r="H32" s="114" t="s">
        <v>406</v>
      </c>
      <c r="I32" s="114" t="s">
        <v>307</v>
      </c>
      <c r="J32" s="114" t="s">
        <v>407</v>
      </c>
      <c r="K32" s="114" t="s">
        <v>309</v>
      </c>
      <c r="L32" s="114" t="s">
        <v>408</v>
      </c>
      <c r="M32" s="114" t="s">
        <v>409</v>
      </c>
      <c r="N32" s="114">
        <v>9</v>
      </c>
      <c r="O32" s="117" t="s">
        <v>312</v>
      </c>
      <c r="P32" s="114" t="s">
        <v>410</v>
      </c>
      <c r="Q32" s="118">
        <v>8</v>
      </c>
      <c r="R32" s="43" t="s">
        <v>314</v>
      </c>
    </row>
    <row r="33" spans="2:18">
      <c r="B33" s="113">
        <v>20</v>
      </c>
      <c r="C33" s="114" t="s">
        <v>302</v>
      </c>
      <c r="D33" s="115" t="s">
        <v>363</v>
      </c>
      <c r="E33" s="114" t="s">
        <v>304</v>
      </c>
      <c r="F33" s="114" t="s">
        <v>411</v>
      </c>
      <c r="G33" s="116">
        <v>19810201</v>
      </c>
      <c r="H33" s="114" t="s">
        <v>412</v>
      </c>
      <c r="I33" s="114" t="s">
        <v>307</v>
      </c>
      <c r="J33" s="114" t="s">
        <v>413</v>
      </c>
      <c r="K33" s="114" t="s">
        <v>309</v>
      </c>
      <c r="L33" s="114" t="s">
        <v>414</v>
      </c>
      <c r="M33" s="114" t="s">
        <v>415</v>
      </c>
      <c r="N33" s="114">
        <v>21</v>
      </c>
      <c r="O33" s="117" t="s">
        <v>312</v>
      </c>
      <c r="P33" s="114" t="s">
        <v>416</v>
      </c>
      <c r="Q33" s="118">
        <v>8</v>
      </c>
      <c r="R33" s="43" t="s">
        <v>314</v>
      </c>
    </row>
    <row r="34" spans="2:18">
      <c r="B34" s="113">
        <v>21</v>
      </c>
      <c r="C34" s="114" t="s">
        <v>302</v>
      </c>
      <c r="D34" s="115" t="s">
        <v>417</v>
      </c>
      <c r="E34" s="114" t="s">
        <v>304</v>
      </c>
      <c r="F34" s="114" t="s">
        <v>418</v>
      </c>
      <c r="G34" s="116">
        <v>19770620</v>
      </c>
      <c r="H34" s="114" t="s">
        <v>367</v>
      </c>
      <c r="I34" s="114" t="s">
        <v>368</v>
      </c>
      <c r="J34" s="114" t="s">
        <v>419</v>
      </c>
      <c r="K34" s="114" t="s">
        <v>309</v>
      </c>
      <c r="L34" s="114" t="s">
        <v>420</v>
      </c>
      <c r="M34" s="114" t="s">
        <v>421</v>
      </c>
      <c r="N34" s="114">
        <v>7</v>
      </c>
      <c r="O34" s="117" t="s">
        <v>312</v>
      </c>
      <c r="P34" s="114" t="s">
        <v>422</v>
      </c>
      <c r="Q34" s="118">
        <v>8</v>
      </c>
      <c r="R34" s="43" t="s">
        <v>314</v>
      </c>
    </row>
    <row r="35" spans="2:18">
      <c r="B35" s="113">
        <v>22</v>
      </c>
      <c r="C35" s="114" t="s">
        <v>302</v>
      </c>
      <c r="D35" s="115" t="s">
        <v>417</v>
      </c>
      <c r="E35" s="114" t="s">
        <v>304</v>
      </c>
      <c r="F35" s="114" t="s">
        <v>423</v>
      </c>
      <c r="G35" s="116">
        <v>19750212</v>
      </c>
      <c r="H35" s="114" t="s">
        <v>424</v>
      </c>
      <c r="I35" s="114" t="s">
        <v>368</v>
      </c>
      <c r="J35" s="114" t="s">
        <v>425</v>
      </c>
      <c r="K35" s="114" t="s">
        <v>319</v>
      </c>
      <c r="L35" s="114" t="s">
        <v>402</v>
      </c>
      <c r="M35" s="114" t="s">
        <v>426</v>
      </c>
      <c r="N35" s="114">
        <v>20</v>
      </c>
      <c r="O35" s="117" t="s">
        <v>312</v>
      </c>
      <c r="P35" s="114" t="s">
        <v>427</v>
      </c>
      <c r="Q35" s="118">
        <v>8</v>
      </c>
      <c r="R35" s="43" t="s">
        <v>314</v>
      </c>
    </row>
    <row r="36" spans="2:18">
      <c r="B36" s="113">
        <v>23</v>
      </c>
      <c r="C36" s="114" t="s">
        <v>328</v>
      </c>
      <c r="D36" s="115" t="s">
        <v>417</v>
      </c>
      <c r="E36" s="114" t="s">
        <v>304</v>
      </c>
      <c r="F36" s="114" t="s">
        <v>428</v>
      </c>
      <c r="G36" s="116">
        <v>19761130</v>
      </c>
      <c r="H36" s="114" t="s">
        <v>367</v>
      </c>
      <c r="I36" s="114" t="s">
        <v>368</v>
      </c>
      <c r="J36" s="114" t="s">
        <v>429</v>
      </c>
      <c r="K36" s="120" t="s">
        <v>430</v>
      </c>
      <c r="L36" s="114" t="s">
        <v>431</v>
      </c>
      <c r="M36" s="114" t="s">
        <v>432</v>
      </c>
      <c r="N36" s="114">
        <v>7</v>
      </c>
      <c r="O36" s="117" t="s">
        <v>312</v>
      </c>
      <c r="P36" s="114" t="s">
        <v>433</v>
      </c>
      <c r="Q36" s="118">
        <v>8</v>
      </c>
      <c r="R36" s="43" t="s">
        <v>314</v>
      </c>
    </row>
    <row r="37" spans="2:18">
      <c r="B37" s="113">
        <v>24</v>
      </c>
      <c r="C37" s="114" t="s">
        <v>328</v>
      </c>
      <c r="D37" s="115" t="s">
        <v>417</v>
      </c>
      <c r="E37" s="114" t="s">
        <v>315</v>
      </c>
      <c r="F37" s="114" t="s">
        <v>434</v>
      </c>
      <c r="G37" s="116">
        <v>19750313</v>
      </c>
      <c r="H37" s="114" t="s">
        <v>367</v>
      </c>
      <c r="I37" s="114" t="s">
        <v>368</v>
      </c>
      <c r="J37" s="114" t="s">
        <v>435</v>
      </c>
      <c r="K37" s="114" t="s">
        <v>319</v>
      </c>
      <c r="L37" s="114" t="s">
        <v>436</v>
      </c>
      <c r="M37" s="114" t="s">
        <v>437</v>
      </c>
      <c r="N37" s="114">
        <v>7</v>
      </c>
      <c r="O37" s="117" t="s">
        <v>312</v>
      </c>
      <c r="P37" s="114" t="s">
        <v>438</v>
      </c>
      <c r="Q37" s="118">
        <v>8</v>
      </c>
      <c r="R37" s="43" t="s">
        <v>314</v>
      </c>
    </row>
    <row r="38" spans="2:18">
      <c r="B38" s="113">
        <v>25</v>
      </c>
      <c r="C38" s="114" t="s">
        <v>302</v>
      </c>
      <c r="D38" s="115" t="s">
        <v>417</v>
      </c>
      <c r="E38" s="114" t="s">
        <v>304</v>
      </c>
      <c r="F38" s="114" t="s">
        <v>439</v>
      </c>
      <c r="G38" s="116">
        <v>19771119</v>
      </c>
      <c r="H38" s="114" t="s">
        <v>367</v>
      </c>
      <c r="I38" s="114" t="s">
        <v>368</v>
      </c>
      <c r="J38" s="114" t="s">
        <v>440</v>
      </c>
      <c r="K38" s="114" t="s">
        <v>319</v>
      </c>
      <c r="L38" s="114" t="s">
        <v>441</v>
      </c>
      <c r="M38" s="114" t="s">
        <v>442</v>
      </c>
      <c r="N38" s="114">
        <v>18</v>
      </c>
      <c r="O38" s="117" t="s">
        <v>312</v>
      </c>
      <c r="P38" s="114" t="s">
        <v>443</v>
      </c>
      <c r="Q38" s="118">
        <v>8</v>
      </c>
      <c r="R38" s="43" t="s">
        <v>314</v>
      </c>
    </row>
    <row r="39" spans="2:18">
      <c r="B39" s="113">
        <v>26</v>
      </c>
      <c r="C39" s="114" t="s">
        <v>302</v>
      </c>
      <c r="D39" s="115" t="s">
        <v>417</v>
      </c>
      <c r="E39" s="114" t="s">
        <v>304</v>
      </c>
      <c r="F39" s="114" t="s">
        <v>444</v>
      </c>
      <c r="G39" s="116">
        <v>19810902</v>
      </c>
      <c r="H39" s="114" t="s">
        <v>445</v>
      </c>
      <c r="I39" s="114" t="s">
        <v>307</v>
      </c>
      <c r="J39" s="114" t="s">
        <v>446</v>
      </c>
      <c r="K39" s="114" t="s">
        <v>319</v>
      </c>
      <c r="L39" s="114" t="s">
        <v>447</v>
      </c>
      <c r="M39" s="114" t="s">
        <v>448</v>
      </c>
      <c r="N39" s="114">
        <v>21</v>
      </c>
      <c r="O39" s="117" t="s">
        <v>312</v>
      </c>
      <c r="P39" s="114" t="s">
        <v>449</v>
      </c>
      <c r="Q39" s="118">
        <v>8</v>
      </c>
      <c r="R39" s="43" t="s">
        <v>314</v>
      </c>
    </row>
    <row r="40" spans="2:18">
      <c r="B40" s="113">
        <v>27</v>
      </c>
      <c r="C40" s="114" t="s">
        <v>328</v>
      </c>
      <c r="D40" s="115" t="s">
        <v>417</v>
      </c>
      <c r="E40" s="114" t="s">
        <v>315</v>
      </c>
      <c r="F40" s="114" t="s">
        <v>450</v>
      </c>
      <c r="G40" s="116">
        <v>19710815</v>
      </c>
      <c r="H40" s="114" t="s">
        <v>451</v>
      </c>
      <c r="I40" s="114" t="s">
        <v>307</v>
      </c>
      <c r="J40" s="114" t="s">
        <v>308</v>
      </c>
      <c r="K40" s="114" t="s">
        <v>309</v>
      </c>
      <c r="L40" s="114" t="s">
        <v>452</v>
      </c>
      <c r="M40" s="119" t="s">
        <v>453</v>
      </c>
      <c r="N40" s="114">
        <v>25</v>
      </c>
      <c r="O40" s="117" t="s">
        <v>312</v>
      </c>
      <c r="P40" s="114" t="s">
        <v>454</v>
      </c>
      <c r="Q40" s="118">
        <v>8</v>
      </c>
      <c r="R40" s="43" t="s">
        <v>314</v>
      </c>
    </row>
    <row r="41" spans="2:18">
      <c r="B41" s="113">
        <v>28</v>
      </c>
      <c r="C41" s="114" t="s">
        <v>328</v>
      </c>
      <c r="D41" s="115" t="s">
        <v>417</v>
      </c>
      <c r="E41" s="114" t="s">
        <v>304</v>
      </c>
      <c r="F41" s="114" t="s">
        <v>455</v>
      </c>
      <c r="G41" s="116">
        <v>19770216</v>
      </c>
      <c r="H41" s="114" t="s">
        <v>367</v>
      </c>
      <c r="I41" s="114" t="s">
        <v>368</v>
      </c>
      <c r="J41" s="114" t="s">
        <v>456</v>
      </c>
      <c r="K41" s="114" t="s">
        <v>309</v>
      </c>
      <c r="L41" s="114" t="s">
        <v>457</v>
      </c>
      <c r="M41" s="114" t="s">
        <v>458</v>
      </c>
      <c r="N41" s="114">
        <v>8</v>
      </c>
      <c r="O41" s="117" t="s">
        <v>312</v>
      </c>
      <c r="P41" s="114" t="s">
        <v>459</v>
      </c>
      <c r="Q41" s="118">
        <v>8</v>
      </c>
      <c r="R41" s="43" t="s">
        <v>314</v>
      </c>
    </row>
    <row r="42" spans="2:18">
      <c r="B42" s="113">
        <v>29</v>
      </c>
      <c r="C42" s="114" t="s">
        <v>328</v>
      </c>
      <c r="D42" s="115" t="s">
        <v>417</v>
      </c>
      <c r="E42" s="120" t="s">
        <v>460</v>
      </c>
      <c r="F42" s="114" t="s">
        <v>461</v>
      </c>
      <c r="G42" s="116">
        <v>19830331</v>
      </c>
      <c r="H42" s="114" t="s">
        <v>424</v>
      </c>
      <c r="I42" s="114" t="s">
        <v>368</v>
      </c>
      <c r="J42" s="114" t="s">
        <v>462</v>
      </c>
      <c r="K42" s="114" t="s">
        <v>319</v>
      </c>
      <c r="L42" s="114" t="s">
        <v>463</v>
      </c>
      <c r="M42" s="114" t="s">
        <v>321</v>
      </c>
      <c r="N42" s="114">
        <v>3</v>
      </c>
      <c r="O42" s="117" t="s">
        <v>312</v>
      </c>
      <c r="P42" s="114" t="s">
        <v>340</v>
      </c>
      <c r="Q42" s="118">
        <v>8</v>
      </c>
      <c r="R42" s="43" t="s">
        <v>314</v>
      </c>
    </row>
    <row r="43" spans="2:18">
      <c r="B43" s="113">
        <v>30</v>
      </c>
      <c r="C43" s="114" t="s">
        <v>328</v>
      </c>
      <c r="D43" s="115" t="s">
        <v>417</v>
      </c>
      <c r="E43" s="120" t="s">
        <v>460</v>
      </c>
      <c r="F43" s="114" t="s">
        <v>464</v>
      </c>
      <c r="G43" s="116">
        <v>19831222</v>
      </c>
      <c r="H43" s="114" t="s">
        <v>424</v>
      </c>
      <c r="I43" s="114" t="s">
        <v>368</v>
      </c>
      <c r="J43" s="114" t="s">
        <v>465</v>
      </c>
      <c r="K43" s="114" t="s">
        <v>319</v>
      </c>
      <c r="L43" s="114" t="s">
        <v>466</v>
      </c>
      <c r="M43" s="114" t="s">
        <v>321</v>
      </c>
      <c r="N43" s="114">
        <v>2</v>
      </c>
      <c r="O43" s="117" t="s">
        <v>312</v>
      </c>
      <c r="P43" s="114" t="s">
        <v>340</v>
      </c>
      <c r="Q43" s="118">
        <v>8</v>
      </c>
      <c r="R43" s="43" t="s">
        <v>314</v>
      </c>
    </row>
    <row r="44" spans="2:18">
      <c r="B44" s="113">
        <v>31</v>
      </c>
      <c r="C44" s="114" t="s">
        <v>328</v>
      </c>
      <c r="D44" s="115" t="s">
        <v>467</v>
      </c>
      <c r="E44" s="114" t="s">
        <v>304</v>
      </c>
      <c r="F44" s="114" t="s">
        <v>468</v>
      </c>
      <c r="G44" s="116">
        <v>19661228</v>
      </c>
      <c r="H44" s="114" t="s">
        <v>469</v>
      </c>
      <c r="I44" s="114" t="s">
        <v>368</v>
      </c>
      <c r="J44" s="121" t="s">
        <v>470</v>
      </c>
      <c r="K44" s="114" t="s">
        <v>309</v>
      </c>
      <c r="L44" s="114" t="s">
        <v>471</v>
      </c>
      <c r="M44" s="114" t="s">
        <v>472</v>
      </c>
      <c r="N44" s="114">
        <v>16</v>
      </c>
      <c r="O44" s="117" t="s">
        <v>312</v>
      </c>
      <c r="P44" s="114" t="s">
        <v>473</v>
      </c>
      <c r="Q44" s="118">
        <v>8</v>
      </c>
      <c r="R44" s="43" t="s">
        <v>314</v>
      </c>
    </row>
    <row r="45" spans="2:18">
      <c r="B45" s="113">
        <v>32</v>
      </c>
      <c r="C45" s="114" t="s">
        <v>302</v>
      </c>
      <c r="D45" s="115" t="s">
        <v>467</v>
      </c>
      <c r="E45" s="114" t="s">
        <v>304</v>
      </c>
      <c r="F45" s="114" t="s">
        <v>474</v>
      </c>
      <c r="G45" s="116">
        <v>19950302</v>
      </c>
      <c r="H45" s="114" t="s">
        <v>475</v>
      </c>
      <c r="I45" s="114" t="s">
        <v>307</v>
      </c>
      <c r="J45" s="114" t="s">
        <v>308</v>
      </c>
      <c r="K45" s="114" t="s">
        <v>309</v>
      </c>
      <c r="L45" s="114" t="s">
        <v>310</v>
      </c>
      <c r="M45" s="114" t="s">
        <v>476</v>
      </c>
      <c r="N45" s="114">
        <v>6</v>
      </c>
      <c r="O45" s="117" t="s">
        <v>312</v>
      </c>
      <c r="P45" s="114" t="s">
        <v>477</v>
      </c>
      <c r="Q45" s="118">
        <v>8</v>
      </c>
      <c r="R45" s="43" t="s">
        <v>314</v>
      </c>
    </row>
    <row r="46" spans="2:18">
      <c r="B46" s="113">
        <v>33</v>
      </c>
      <c r="C46" s="114" t="s">
        <v>302</v>
      </c>
      <c r="D46" s="115" t="s">
        <v>467</v>
      </c>
      <c r="E46" s="114" t="s">
        <v>304</v>
      </c>
      <c r="F46" s="114" t="s">
        <v>478</v>
      </c>
      <c r="G46" s="116">
        <v>19780903</v>
      </c>
      <c r="H46" s="114" t="s">
        <v>479</v>
      </c>
      <c r="I46" s="114" t="s">
        <v>307</v>
      </c>
      <c r="J46" s="114" t="s">
        <v>308</v>
      </c>
      <c r="K46" s="114" t="s">
        <v>309</v>
      </c>
      <c r="L46" s="114" t="s">
        <v>310</v>
      </c>
      <c r="M46" s="114" t="s">
        <v>480</v>
      </c>
      <c r="N46" s="114">
        <v>22</v>
      </c>
      <c r="O46" s="117" t="s">
        <v>312</v>
      </c>
      <c r="P46" s="114" t="s">
        <v>481</v>
      </c>
      <c r="Q46" s="118">
        <v>8</v>
      </c>
      <c r="R46" s="43" t="s">
        <v>314</v>
      </c>
    </row>
    <row r="47" spans="2:18">
      <c r="B47" s="113">
        <v>34</v>
      </c>
      <c r="C47" s="114" t="s">
        <v>328</v>
      </c>
      <c r="D47" s="115" t="s">
        <v>467</v>
      </c>
      <c r="E47" s="114" t="s">
        <v>304</v>
      </c>
      <c r="F47" s="114" t="s">
        <v>482</v>
      </c>
      <c r="G47" s="116">
        <v>19770725</v>
      </c>
      <c r="H47" s="114" t="s">
        <v>483</v>
      </c>
      <c r="I47" s="114" t="s">
        <v>307</v>
      </c>
      <c r="J47" s="114" t="s">
        <v>484</v>
      </c>
      <c r="K47" s="114" t="s">
        <v>319</v>
      </c>
      <c r="L47" s="114" t="s">
        <v>485</v>
      </c>
      <c r="M47" s="114" t="s">
        <v>486</v>
      </c>
      <c r="N47" s="114">
        <v>16</v>
      </c>
      <c r="O47" s="117" t="s">
        <v>312</v>
      </c>
      <c r="P47" s="114" t="s">
        <v>487</v>
      </c>
      <c r="Q47" s="118">
        <v>8</v>
      </c>
      <c r="R47" s="43" t="s">
        <v>314</v>
      </c>
    </row>
    <row r="48" spans="2:18">
      <c r="B48" s="113">
        <v>35</v>
      </c>
      <c r="C48" s="114" t="s">
        <v>302</v>
      </c>
      <c r="D48" s="115" t="s">
        <v>467</v>
      </c>
      <c r="E48" s="114" t="s">
        <v>304</v>
      </c>
      <c r="F48" s="114" t="s">
        <v>488</v>
      </c>
      <c r="G48" s="116">
        <v>1992053</v>
      </c>
      <c r="H48" s="114" t="s">
        <v>389</v>
      </c>
      <c r="I48" s="114" t="s">
        <v>307</v>
      </c>
      <c r="J48" s="117" t="s">
        <v>489</v>
      </c>
      <c r="K48" s="114" t="s">
        <v>309</v>
      </c>
      <c r="L48" s="114" t="s">
        <v>490</v>
      </c>
      <c r="M48" s="114" t="s">
        <v>491</v>
      </c>
      <c r="N48" s="114">
        <v>3</v>
      </c>
      <c r="O48" s="117" t="s">
        <v>312</v>
      </c>
      <c r="P48" s="114" t="s">
        <v>492</v>
      </c>
      <c r="Q48" s="118">
        <v>8</v>
      </c>
      <c r="R48" s="43" t="s">
        <v>314</v>
      </c>
    </row>
    <row r="49" spans="2:18">
      <c r="B49" s="113">
        <v>36</v>
      </c>
      <c r="C49" s="114" t="s">
        <v>328</v>
      </c>
      <c r="D49" s="115" t="s">
        <v>467</v>
      </c>
      <c r="E49" s="114" t="s">
        <v>315</v>
      </c>
      <c r="F49" s="114" t="s">
        <v>493</v>
      </c>
      <c r="G49" s="116">
        <v>19960212</v>
      </c>
      <c r="H49" s="114" t="s">
        <v>306</v>
      </c>
      <c r="I49" s="114" t="s">
        <v>307</v>
      </c>
      <c r="J49" s="114" t="s">
        <v>494</v>
      </c>
      <c r="K49" s="114" t="s">
        <v>319</v>
      </c>
      <c r="L49" s="114" t="s">
        <v>495</v>
      </c>
      <c r="M49" s="114" t="s">
        <v>321</v>
      </c>
      <c r="N49" s="114">
        <v>2</v>
      </c>
      <c r="O49" s="117" t="s">
        <v>312</v>
      </c>
      <c r="P49" s="114" t="s">
        <v>496</v>
      </c>
      <c r="Q49" s="118">
        <v>8</v>
      </c>
      <c r="R49" s="43" t="s">
        <v>314</v>
      </c>
    </row>
    <row r="50" spans="2:18">
      <c r="B50" s="113">
        <v>37</v>
      </c>
      <c r="C50" s="114" t="s">
        <v>302</v>
      </c>
      <c r="D50" s="115" t="s">
        <v>497</v>
      </c>
      <c r="E50" s="114" t="s">
        <v>304</v>
      </c>
      <c r="F50" s="114" t="s">
        <v>498</v>
      </c>
      <c r="G50" s="116">
        <v>19770729</v>
      </c>
      <c r="H50" s="114" t="s">
        <v>479</v>
      </c>
      <c r="I50" s="114" t="s">
        <v>307</v>
      </c>
      <c r="J50" s="117" t="s">
        <v>489</v>
      </c>
      <c r="K50" s="114" t="s">
        <v>309</v>
      </c>
      <c r="L50" s="114" t="s">
        <v>499</v>
      </c>
      <c r="M50" s="114" t="s">
        <v>500</v>
      </c>
      <c r="N50" s="114">
        <v>18</v>
      </c>
      <c r="O50" s="117" t="s">
        <v>312</v>
      </c>
      <c r="P50" s="114" t="s">
        <v>501</v>
      </c>
      <c r="Q50" s="118">
        <v>8</v>
      </c>
      <c r="R50" s="43" t="s">
        <v>314</v>
      </c>
    </row>
    <row r="51" spans="2:18">
      <c r="B51" s="113">
        <v>38</v>
      </c>
      <c r="C51" s="114" t="s">
        <v>302</v>
      </c>
      <c r="D51" s="115" t="s">
        <v>467</v>
      </c>
      <c r="E51" s="114" t="s">
        <v>502</v>
      </c>
      <c r="F51" s="114" t="s">
        <v>503</v>
      </c>
      <c r="G51" s="116">
        <v>19871226</v>
      </c>
      <c r="H51" s="114" t="s">
        <v>504</v>
      </c>
      <c r="I51" s="114" t="s">
        <v>307</v>
      </c>
      <c r="J51" s="114" t="s">
        <v>308</v>
      </c>
      <c r="K51" s="114" t="s">
        <v>309</v>
      </c>
      <c r="L51" s="114" t="s">
        <v>310</v>
      </c>
      <c r="M51" s="114" t="s">
        <v>505</v>
      </c>
      <c r="N51" s="114">
        <v>2</v>
      </c>
      <c r="O51" s="117" t="s">
        <v>312</v>
      </c>
      <c r="P51" s="114" t="s">
        <v>506</v>
      </c>
      <c r="Q51" s="118">
        <v>8</v>
      </c>
      <c r="R51" s="43" t="s">
        <v>314</v>
      </c>
    </row>
    <row r="52" spans="2:18">
      <c r="B52" s="113">
        <v>39</v>
      </c>
      <c r="C52" s="114" t="s">
        <v>302</v>
      </c>
      <c r="D52" s="115" t="s">
        <v>467</v>
      </c>
      <c r="E52" s="114" t="s">
        <v>304</v>
      </c>
      <c r="F52" s="114" t="s">
        <v>507</v>
      </c>
      <c r="G52" s="116">
        <v>19841224</v>
      </c>
      <c r="H52" s="114" t="s">
        <v>508</v>
      </c>
      <c r="I52" s="114" t="s">
        <v>307</v>
      </c>
      <c r="J52" s="114" t="s">
        <v>509</v>
      </c>
      <c r="K52" s="114" t="s">
        <v>319</v>
      </c>
      <c r="L52" s="114" t="s">
        <v>385</v>
      </c>
      <c r="M52" s="114" t="s">
        <v>510</v>
      </c>
      <c r="N52" s="114">
        <v>14</v>
      </c>
      <c r="O52" s="117" t="s">
        <v>312</v>
      </c>
      <c r="P52" s="114" t="s">
        <v>506</v>
      </c>
      <c r="Q52" s="118">
        <v>8</v>
      </c>
      <c r="R52" s="43" t="s">
        <v>314</v>
      </c>
    </row>
    <row r="53" spans="2:18">
      <c r="B53" s="113">
        <v>40</v>
      </c>
      <c r="C53" s="114" t="s">
        <v>302</v>
      </c>
      <c r="D53" s="115" t="s">
        <v>467</v>
      </c>
      <c r="E53" s="114" t="s">
        <v>315</v>
      </c>
      <c r="F53" s="114" t="s">
        <v>511</v>
      </c>
      <c r="G53" s="116">
        <v>19730530</v>
      </c>
      <c r="H53" s="114" t="s">
        <v>512</v>
      </c>
      <c r="I53" s="114" t="s">
        <v>307</v>
      </c>
      <c r="J53" s="114" t="s">
        <v>513</v>
      </c>
      <c r="K53" s="114" t="s">
        <v>319</v>
      </c>
      <c r="L53" s="114" t="s">
        <v>514</v>
      </c>
      <c r="M53" s="114" t="s">
        <v>515</v>
      </c>
      <c r="N53" s="114">
        <v>23</v>
      </c>
      <c r="O53" s="117" t="s">
        <v>312</v>
      </c>
      <c r="P53" s="114" t="s">
        <v>516</v>
      </c>
      <c r="Q53" s="118">
        <v>8</v>
      </c>
      <c r="R53" s="43" t="s">
        <v>314</v>
      </c>
    </row>
    <row r="54" spans="2:18">
      <c r="B54" s="113">
        <v>41</v>
      </c>
      <c r="C54" s="114" t="s">
        <v>328</v>
      </c>
      <c r="D54" s="115" t="s">
        <v>517</v>
      </c>
      <c r="E54" s="114" t="s">
        <v>315</v>
      </c>
      <c r="F54" s="114" t="s">
        <v>518</v>
      </c>
      <c r="G54" s="116">
        <v>19980731</v>
      </c>
      <c r="H54" s="114" t="s">
        <v>519</v>
      </c>
      <c r="I54" s="114" t="s">
        <v>307</v>
      </c>
      <c r="J54" s="114" t="s">
        <v>509</v>
      </c>
      <c r="K54" s="114" t="s">
        <v>319</v>
      </c>
      <c r="L54" s="114" t="s">
        <v>385</v>
      </c>
      <c r="M54" s="114" t="s">
        <v>520</v>
      </c>
      <c r="N54" s="114">
        <v>4</v>
      </c>
      <c r="O54" s="117" t="s">
        <v>312</v>
      </c>
      <c r="P54" s="114" t="s">
        <v>340</v>
      </c>
      <c r="Q54" s="118">
        <v>8</v>
      </c>
      <c r="R54" s="43" t="s">
        <v>314</v>
      </c>
    </row>
    <row r="55" spans="2:18">
      <c r="B55" s="113">
        <v>42</v>
      </c>
      <c r="C55" s="114" t="s">
        <v>328</v>
      </c>
      <c r="D55" s="115" t="s">
        <v>517</v>
      </c>
      <c r="E55" s="114" t="s">
        <v>304</v>
      </c>
      <c r="F55" s="114" t="s">
        <v>521</v>
      </c>
      <c r="G55" s="116">
        <v>19760407</v>
      </c>
      <c r="H55" s="114" t="s">
        <v>424</v>
      </c>
      <c r="I55" s="114" t="s">
        <v>368</v>
      </c>
      <c r="J55" s="120" t="s">
        <v>522</v>
      </c>
      <c r="K55" s="114" t="s">
        <v>319</v>
      </c>
      <c r="L55" s="114" t="s">
        <v>523</v>
      </c>
      <c r="M55" s="114" t="s">
        <v>524</v>
      </c>
      <c r="N55" s="114" t="s">
        <v>321</v>
      </c>
      <c r="O55" s="117" t="s">
        <v>312</v>
      </c>
      <c r="P55" s="114" t="s">
        <v>525</v>
      </c>
      <c r="Q55" s="118">
        <v>8</v>
      </c>
      <c r="R55" s="43" t="s">
        <v>314</v>
      </c>
    </row>
    <row r="56" spans="2:18">
      <c r="B56" s="113">
        <v>43</v>
      </c>
      <c r="C56" s="114" t="s">
        <v>302</v>
      </c>
      <c r="D56" s="115" t="s">
        <v>517</v>
      </c>
      <c r="E56" s="114" t="s">
        <v>315</v>
      </c>
      <c r="F56" s="114" t="s">
        <v>526</v>
      </c>
      <c r="G56" s="116">
        <v>19850105</v>
      </c>
      <c r="H56" s="114" t="s">
        <v>527</v>
      </c>
      <c r="I56" s="114" t="s">
        <v>307</v>
      </c>
      <c r="J56" s="114" t="s">
        <v>528</v>
      </c>
      <c r="K56" s="114" t="s">
        <v>319</v>
      </c>
      <c r="L56" s="114" t="s">
        <v>529</v>
      </c>
      <c r="M56" s="114">
        <v>20110217</v>
      </c>
      <c r="N56" s="114">
        <v>13</v>
      </c>
      <c r="O56" s="117" t="s">
        <v>312</v>
      </c>
      <c r="P56" s="114" t="s">
        <v>530</v>
      </c>
      <c r="Q56" s="118">
        <v>8</v>
      </c>
      <c r="R56" s="43" t="s">
        <v>314</v>
      </c>
    </row>
    <row r="57" spans="2:18">
      <c r="B57" s="113">
        <v>44</v>
      </c>
      <c r="C57" s="114" t="s">
        <v>302</v>
      </c>
      <c r="D57" s="115" t="s">
        <v>517</v>
      </c>
      <c r="E57" s="114" t="s">
        <v>304</v>
      </c>
      <c r="F57" s="114" t="s">
        <v>531</v>
      </c>
      <c r="G57" s="116">
        <v>19780724</v>
      </c>
      <c r="H57" s="114" t="s">
        <v>532</v>
      </c>
      <c r="I57" s="114" t="s">
        <v>307</v>
      </c>
      <c r="J57" s="114" t="s">
        <v>308</v>
      </c>
      <c r="K57" s="114" t="s">
        <v>309</v>
      </c>
      <c r="L57" s="114" t="s">
        <v>310</v>
      </c>
      <c r="M57" s="114" t="s">
        <v>533</v>
      </c>
      <c r="N57" s="114">
        <v>19</v>
      </c>
      <c r="O57" s="117" t="s">
        <v>312</v>
      </c>
      <c r="P57" s="114" t="s">
        <v>534</v>
      </c>
      <c r="Q57" s="118">
        <v>8</v>
      </c>
      <c r="R57" s="43" t="s">
        <v>314</v>
      </c>
    </row>
    <row r="58" spans="2:18">
      <c r="B58" s="113">
        <v>45</v>
      </c>
      <c r="C58" s="114" t="s">
        <v>328</v>
      </c>
      <c r="D58" s="115" t="s">
        <v>517</v>
      </c>
      <c r="E58" s="114" t="s">
        <v>304</v>
      </c>
      <c r="F58" s="114" t="s">
        <v>535</v>
      </c>
      <c r="G58" s="116">
        <v>19790714</v>
      </c>
      <c r="H58" s="114" t="s">
        <v>367</v>
      </c>
      <c r="I58" s="114" t="s">
        <v>368</v>
      </c>
      <c r="J58" s="114" t="s">
        <v>536</v>
      </c>
      <c r="K58" s="114" t="s">
        <v>319</v>
      </c>
      <c r="L58" s="114" t="s">
        <v>537</v>
      </c>
      <c r="M58" s="114" t="s">
        <v>538</v>
      </c>
      <c r="N58" s="114">
        <v>4</v>
      </c>
      <c r="O58" s="117" t="s">
        <v>312</v>
      </c>
      <c r="P58" s="114" t="s">
        <v>539</v>
      </c>
      <c r="Q58" s="118">
        <v>8</v>
      </c>
      <c r="R58" s="43" t="s">
        <v>314</v>
      </c>
    </row>
    <row r="59" spans="2:18">
      <c r="B59" s="113">
        <v>46</v>
      </c>
      <c r="C59" s="114" t="s">
        <v>302</v>
      </c>
      <c r="D59" s="115" t="s">
        <v>517</v>
      </c>
      <c r="E59" s="114" t="s">
        <v>304</v>
      </c>
      <c r="F59" s="114" t="s">
        <v>540</v>
      </c>
      <c r="G59" s="116">
        <v>19870120</v>
      </c>
      <c r="H59" s="114" t="s">
        <v>541</v>
      </c>
      <c r="I59" s="114" t="s">
        <v>307</v>
      </c>
      <c r="J59" s="120" t="s">
        <v>542</v>
      </c>
      <c r="K59" s="114" t="s">
        <v>319</v>
      </c>
      <c r="L59" s="114" t="s">
        <v>543</v>
      </c>
      <c r="M59" s="114" t="s">
        <v>544</v>
      </c>
      <c r="N59" s="114">
        <v>6</v>
      </c>
      <c r="O59" s="117" t="s">
        <v>312</v>
      </c>
      <c r="P59" s="114" t="s">
        <v>545</v>
      </c>
      <c r="Q59" s="118">
        <v>8</v>
      </c>
      <c r="R59" s="43" t="s">
        <v>314</v>
      </c>
    </row>
    <row r="60" spans="2:18">
      <c r="B60" s="113">
        <v>47</v>
      </c>
      <c r="C60" s="114" t="s">
        <v>328</v>
      </c>
      <c r="D60" s="115" t="s">
        <v>517</v>
      </c>
      <c r="E60" s="114" t="s">
        <v>315</v>
      </c>
      <c r="F60" s="114" t="s">
        <v>546</v>
      </c>
      <c r="G60" s="116">
        <v>19891103</v>
      </c>
      <c r="H60" s="114" t="s">
        <v>547</v>
      </c>
      <c r="I60" s="114" t="s">
        <v>307</v>
      </c>
      <c r="J60" s="114" t="s">
        <v>308</v>
      </c>
      <c r="K60" s="114" t="s">
        <v>309</v>
      </c>
      <c r="L60" s="114" t="s">
        <v>310</v>
      </c>
      <c r="M60" s="114" t="s">
        <v>321</v>
      </c>
      <c r="N60" s="114">
        <v>3</v>
      </c>
      <c r="O60" s="117" t="s">
        <v>312</v>
      </c>
      <c r="P60" s="114" t="s">
        <v>548</v>
      </c>
      <c r="Q60" s="118">
        <v>8</v>
      </c>
      <c r="R60" s="43" t="s">
        <v>314</v>
      </c>
    </row>
    <row r="61" spans="2:18">
      <c r="B61" s="113">
        <v>48</v>
      </c>
      <c r="C61" s="114" t="s">
        <v>302</v>
      </c>
      <c r="D61" s="115" t="s">
        <v>517</v>
      </c>
      <c r="E61" s="114" t="s">
        <v>304</v>
      </c>
      <c r="F61" s="114" t="s">
        <v>549</v>
      </c>
      <c r="G61" s="116">
        <v>19770226</v>
      </c>
      <c r="H61" s="114" t="s">
        <v>550</v>
      </c>
      <c r="I61" s="114" t="s">
        <v>307</v>
      </c>
      <c r="J61" s="114" t="s">
        <v>308</v>
      </c>
      <c r="K61" s="114" t="s">
        <v>309</v>
      </c>
      <c r="L61" s="114" t="s">
        <v>310</v>
      </c>
      <c r="M61" s="114" t="s">
        <v>551</v>
      </c>
      <c r="N61" s="114">
        <v>22</v>
      </c>
      <c r="O61" s="117" t="s">
        <v>312</v>
      </c>
      <c r="P61" s="114" t="s">
        <v>552</v>
      </c>
      <c r="Q61" s="118">
        <v>8</v>
      </c>
      <c r="R61" s="43" t="s">
        <v>314</v>
      </c>
    </row>
    <row r="62" spans="2:18">
      <c r="B62" s="113">
        <v>49</v>
      </c>
      <c r="C62" s="114" t="s">
        <v>302</v>
      </c>
      <c r="D62" s="115" t="s">
        <v>517</v>
      </c>
      <c r="E62" s="114" t="s">
        <v>304</v>
      </c>
      <c r="F62" s="114" t="s">
        <v>553</v>
      </c>
      <c r="G62" s="116">
        <v>19810601</v>
      </c>
      <c r="H62" s="114" t="s">
        <v>554</v>
      </c>
      <c r="I62" s="114" t="s">
        <v>307</v>
      </c>
      <c r="J62" s="114" t="s">
        <v>555</v>
      </c>
      <c r="K62" s="114" t="s">
        <v>309</v>
      </c>
      <c r="L62" s="114" t="s">
        <v>556</v>
      </c>
      <c r="M62" s="114" t="s">
        <v>557</v>
      </c>
      <c r="N62" s="114">
        <v>16</v>
      </c>
      <c r="O62" s="117" t="s">
        <v>312</v>
      </c>
      <c r="P62" s="114" t="s">
        <v>558</v>
      </c>
      <c r="Q62" s="118">
        <v>8</v>
      </c>
      <c r="R62" s="43" t="s">
        <v>314</v>
      </c>
    </row>
    <row r="63" spans="2:18">
      <c r="B63" s="113">
        <v>50</v>
      </c>
      <c r="C63" s="114" t="s">
        <v>302</v>
      </c>
      <c r="D63" s="115" t="s">
        <v>517</v>
      </c>
      <c r="E63" s="114" t="s">
        <v>304</v>
      </c>
      <c r="F63" s="114" t="s">
        <v>559</v>
      </c>
      <c r="G63" s="116">
        <v>19740413</v>
      </c>
      <c r="H63" s="114" t="s">
        <v>424</v>
      </c>
      <c r="I63" s="114" t="s">
        <v>368</v>
      </c>
      <c r="J63" s="114" t="s">
        <v>560</v>
      </c>
      <c r="K63" s="114" t="s">
        <v>319</v>
      </c>
      <c r="L63" s="114" t="s">
        <v>561</v>
      </c>
      <c r="M63" s="114" t="s">
        <v>562</v>
      </c>
      <c r="N63" s="114">
        <v>18</v>
      </c>
      <c r="O63" s="117" t="s">
        <v>312</v>
      </c>
      <c r="P63" s="114" t="s">
        <v>563</v>
      </c>
      <c r="Q63" s="118">
        <v>8</v>
      </c>
      <c r="R63" s="43" t="s">
        <v>314</v>
      </c>
    </row>
    <row r="64" spans="2:18">
      <c r="B64" s="113">
        <v>51</v>
      </c>
      <c r="C64" s="114" t="s">
        <v>328</v>
      </c>
      <c r="D64" s="122" t="s">
        <v>564</v>
      </c>
      <c r="E64" s="114" t="s">
        <v>315</v>
      </c>
      <c r="F64" s="114" t="s">
        <v>565</v>
      </c>
      <c r="G64" s="116">
        <v>19810224</v>
      </c>
      <c r="H64" s="114" t="s">
        <v>424</v>
      </c>
      <c r="I64" s="114" t="s">
        <v>368</v>
      </c>
      <c r="J64" s="114" t="s">
        <v>566</v>
      </c>
      <c r="K64" s="114" t="s">
        <v>319</v>
      </c>
      <c r="L64" s="114" t="s">
        <v>567</v>
      </c>
      <c r="M64" s="114" t="s">
        <v>568</v>
      </c>
      <c r="N64" s="114">
        <v>4</v>
      </c>
      <c r="O64" s="117" t="s">
        <v>312</v>
      </c>
      <c r="P64" s="114" t="s">
        <v>569</v>
      </c>
      <c r="Q64" s="118">
        <v>8</v>
      </c>
      <c r="R64" s="43" t="s">
        <v>314</v>
      </c>
    </row>
    <row r="65" spans="2:18">
      <c r="B65" s="113">
        <v>52</v>
      </c>
      <c r="C65" s="114" t="s">
        <v>328</v>
      </c>
      <c r="D65" s="122" t="s">
        <v>564</v>
      </c>
      <c r="E65" s="114" t="s">
        <v>304</v>
      </c>
      <c r="F65" s="114" t="s">
        <v>570</v>
      </c>
      <c r="G65" s="116">
        <v>19840823</v>
      </c>
      <c r="H65" s="114" t="s">
        <v>424</v>
      </c>
      <c r="I65" s="114" t="s">
        <v>368</v>
      </c>
      <c r="J65" s="114" t="s">
        <v>571</v>
      </c>
      <c r="K65" s="114" t="s">
        <v>319</v>
      </c>
      <c r="L65" s="114" t="s">
        <v>402</v>
      </c>
      <c r="M65" s="114" t="s">
        <v>572</v>
      </c>
      <c r="N65" s="114">
        <v>9</v>
      </c>
      <c r="O65" s="117" t="s">
        <v>312</v>
      </c>
      <c r="P65" s="114" t="s">
        <v>573</v>
      </c>
      <c r="Q65" s="118">
        <v>8</v>
      </c>
      <c r="R65" s="43" t="s">
        <v>314</v>
      </c>
    </row>
    <row r="66" spans="2:18">
      <c r="B66" s="113">
        <v>53</v>
      </c>
      <c r="C66" s="114" t="s">
        <v>328</v>
      </c>
      <c r="D66" s="122" t="s">
        <v>564</v>
      </c>
      <c r="E66" s="114" t="s">
        <v>315</v>
      </c>
      <c r="F66" s="114" t="s">
        <v>574</v>
      </c>
      <c r="G66" s="116">
        <v>19700915</v>
      </c>
      <c r="H66" s="114" t="s">
        <v>424</v>
      </c>
      <c r="I66" s="114" t="s">
        <v>368</v>
      </c>
      <c r="J66" s="114" t="s">
        <v>575</v>
      </c>
      <c r="K66" s="114" t="s">
        <v>576</v>
      </c>
      <c r="L66" s="114" t="s">
        <v>577</v>
      </c>
      <c r="M66" s="114" t="s">
        <v>578</v>
      </c>
      <c r="N66" s="114">
        <v>11</v>
      </c>
      <c r="O66" s="117" t="s">
        <v>312</v>
      </c>
      <c r="P66" s="114" t="s">
        <v>579</v>
      </c>
      <c r="Q66" s="118">
        <v>8</v>
      </c>
      <c r="R66" s="43" t="s">
        <v>314</v>
      </c>
    </row>
    <row r="67" spans="2:18">
      <c r="B67" s="113">
        <v>54</v>
      </c>
      <c r="C67" s="114" t="s">
        <v>328</v>
      </c>
      <c r="D67" s="122" t="s">
        <v>564</v>
      </c>
      <c r="E67" s="114" t="s">
        <v>304</v>
      </c>
      <c r="F67" s="114" t="s">
        <v>580</v>
      </c>
      <c r="G67" s="116">
        <v>19770211</v>
      </c>
      <c r="H67" s="114" t="s">
        <v>367</v>
      </c>
      <c r="I67" s="114" t="s">
        <v>368</v>
      </c>
      <c r="J67" s="114" t="s">
        <v>581</v>
      </c>
      <c r="K67" s="114" t="s">
        <v>309</v>
      </c>
      <c r="L67" s="114" t="s">
        <v>582</v>
      </c>
      <c r="M67" s="114" t="s">
        <v>583</v>
      </c>
      <c r="N67" s="114">
        <v>2</v>
      </c>
      <c r="O67" s="117" t="s">
        <v>312</v>
      </c>
      <c r="P67" s="114" t="s">
        <v>584</v>
      </c>
      <c r="Q67" s="118">
        <v>8</v>
      </c>
      <c r="R67" s="43" t="s">
        <v>314</v>
      </c>
    </row>
    <row r="68" spans="2:18">
      <c r="B68" s="113">
        <v>55</v>
      </c>
      <c r="C68" s="114" t="s">
        <v>328</v>
      </c>
      <c r="D68" s="122" t="s">
        <v>564</v>
      </c>
      <c r="E68" s="114" t="s">
        <v>304</v>
      </c>
      <c r="F68" s="114" t="s">
        <v>585</v>
      </c>
      <c r="G68" s="116">
        <v>19700126</v>
      </c>
      <c r="H68" s="114" t="s">
        <v>424</v>
      </c>
      <c r="I68" s="114" t="s">
        <v>368</v>
      </c>
      <c r="J68" s="114" t="s">
        <v>586</v>
      </c>
      <c r="K68" s="114" t="s">
        <v>576</v>
      </c>
      <c r="L68" s="114" t="s">
        <v>587</v>
      </c>
      <c r="M68" s="114" t="s">
        <v>588</v>
      </c>
      <c r="N68" s="114">
        <v>7</v>
      </c>
      <c r="O68" s="117" t="s">
        <v>312</v>
      </c>
      <c r="P68" s="114" t="s">
        <v>589</v>
      </c>
      <c r="Q68" s="118">
        <v>8</v>
      </c>
      <c r="R68" s="43" t="s">
        <v>314</v>
      </c>
    </row>
    <row r="69" spans="2:18">
      <c r="B69" s="113">
        <v>56</v>
      </c>
      <c r="C69" s="114" t="s">
        <v>302</v>
      </c>
      <c r="D69" s="122" t="s">
        <v>564</v>
      </c>
      <c r="E69" s="114" t="s">
        <v>304</v>
      </c>
      <c r="F69" s="114" t="s">
        <v>590</v>
      </c>
      <c r="G69" s="116">
        <v>19740910</v>
      </c>
      <c r="H69" s="114" t="s">
        <v>367</v>
      </c>
      <c r="I69" s="114" t="s">
        <v>368</v>
      </c>
      <c r="J69" s="114" t="s">
        <v>591</v>
      </c>
      <c r="K69" s="114" t="s">
        <v>319</v>
      </c>
      <c r="L69" s="114" t="s">
        <v>592</v>
      </c>
      <c r="M69" s="114" t="s">
        <v>593</v>
      </c>
      <c r="N69" s="114">
        <v>9</v>
      </c>
      <c r="O69" s="117" t="s">
        <v>312</v>
      </c>
      <c r="P69" s="114" t="s">
        <v>594</v>
      </c>
      <c r="Q69" s="118">
        <v>8</v>
      </c>
      <c r="R69" s="43" t="s">
        <v>314</v>
      </c>
    </row>
    <row r="70" spans="2:18">
      <c r="B70" s="113">
        <v>57</v>
      </c>
      <c r="C70" s="114" t="s">
        <v>328</v>
      </c>
      <c r="D70" s="122" t="s">
        <v>564</v>
      </c>
      <c r="E70" s="114" t="s">
        <v>304</v>
      </c>
      <c r="F70" s="114" t="s">
        <v>595</v>
      </c>
      <c r="G70" s="116">
        <v>19700908</v>
      </c>
      <c r="H70" s="114" t="s">
        <v>367</v>
      </c>
      <c r="I70" s="114" t="s">
        <v>368</v>
      </c>
      <c r="J70" s="114" t="s">
        <v>429</v>
      </c>
      <c r="K70" s="114" t="s">
        <v>319</v>
      </c>
      <c r="L70" s="114" t="s">
        <v>596</v>
      </c>
      <c r="M70" s="114" t="s">
        <v>597</v>
      </c>
      <c r="N70" s="114">
        <v>21</v>
      </c>
      <c r="O70" s="117" t="s">
        <v>312</v>
      </c>
      <c r="P70" s="114" t="s">
        <v>598</v>
      </c>
      <c r="Q70" s="118">
        <v>8</v>
      </c>
      <c r="R70" s="43" t="s">
        <v>314</v>
      </c>
    </row>
    <row r="71" spans="2:18">
      <c r="B71" s="113">
        <v>58</v>
      </c>
      <c r="C71" s="114" t="s">
        <v>328</v>
      </c>
      <c r="D71" s="122" t="s">
        <v>564</v>
      </c>
      <c r="E71" s="114" t="s">
        <v>304</v>
      </c>
      <c r="F71" s="114" t="s">
        <v>599</v>
      </c>
      <c r="G71" s="116">
        <v>19720722</v>
      </c>
      <c r="H71" s="114" t="s">
        <v>367</v>
      </c>
      <c r="I71" s="114" t="s">
        <v>368</v>
      </c>
      <c r="J71" s="114" t="s">
        <v>600</v>
      </c>
      <c r="K71" s="114" t="s">
        <v>319</v>
      </c>
      <c r="L71" s="114" t="s">
        <v>601</v>
      </c>
      <c r="M71" s="114" t="s">
        <v>602</v>
      </c>
      <c r="N71" s="114">
        <v>7</v>
      </c>
      <c r="O71" s="117" t="s">
        <v>312</v>
      </c>
      <c r="P71" s="114" t="s">
        <v>603</v>
      </c>
      <c r="Q71" s="118">
        <v>8</v>
      </c>
      <c r="R71" s="43" t="s">
        <v>314</v>
      </c>
    </row>
    <row r="72" spans="2:18">
      <c r="B72" s="113">
        <v>59</v>
      </c>
      <c r="C72" s="114" t="s">
        <v>328</v>
      </c>
      <c r="D72" s="122" t="s">
        <v>564</v>
      </c>
      <c r="E72" s="114" t="s">
        <v>315</v>
      </c>
      <c r="F72" s="114" t="s">
        <v>604</v>
      </c>
      <c r="G72" s="116">
        <v>19820220</v>
      </c>
      <c r="H72" s="114" t="s">
        <v>367</v>
      </c>
      <c r="I72" s="114" t="s">
        <v>368</v>
      </c>
      <c r="J72" s="114" t="s">
        <v>605</v>
      </c>
      <c r="K72" s="114" t="s">
        <v>319</v>
      </c>
      <c r="L72" s="114" t="s">
        <v>606</v>
      </c>
      <c r="M72" s="114" t="s">
        <v>607</v>
      </c>
      <c r="N72" s="114">
        <v>3</v>
      </c>
      <c r="O72" s="117" t="s">
        <v>312</v>
      </c>
      <c r="P72" s="114" t="s">
        <v>608</v>
      </c>
      <c r="Q72" s="118">
        <v>8</v>
      </c>
      <c r="R72" s="43" t="s">
        <v>314</v>
      </c>
    </row>
    <row r="73" spans="2:18">
      <c r="B73" s="113">
        <v>60</v>
      </c>
      <c r="C73" s="114" t="s">
        <v>328</v>
      </c>
      <c r="D73" s="122" t="s">
        <v>564</v>
      </c>
      <c r="E73" s="114" t="s">
        <v>304</v>
      </c>
      <c r="F73" s="114" t="s">
        <v>609</v>
      </c>
      <c r="G73" s="116">
        <v>19750511</v>
      </c>
      <c r="H73" s="114" t="s">
        <v>424</v>
      </c>
      <c r="I73" s="114" t="s">
        <v>368</v>
      </c>
      <c r="J73" s="114" t="s">
        <v>610</v>
      </c>
      <c r="K73" s="114" t="s">
        <v>319</v>
      </c>
      <c r="L73" s="114" t="s">
        <v>611</v>
      </c>
      <c r="M73" s="114" t="s">
        <v>612</v>
      </c>
      <c r="N73" s="114">
        <v>3</v>
      </c>
      <c r="O73" s="117" t="s">
        <v>312</v>
      </c>
      <c r="P73" s="114" t="s">
        <v>613</v>
      </c>
      <c r="Q73" s="118">
        <v>8</v>
      </c>
      <c r="R73" s="43" t="s">
        <v>314</v>
      </c>
    </row>
    <row r="74" spans="2:18">
      <c r="B74" s="113">
        <v>61</v>
      </c>
      <c r="C74" s="114" t="s">
        <v>302</v>
      </c>
      <c r="D74" s="115" t="s">
        <v>303</v>
      </c>
      <c r="E74" s="114" t="s">
        <v>304</v>
      </c>
      <c r="F74" s="114" t="s">
        <v>614</v>
      </c>
      <c r="G74" s="116">
        <v>19820714</v>
      </c>
      <c r="H74" s="114" t="s">
        <v>424</v>
      </c>
      <c r="I74" s="114" t="s">
        <v>368</v>
      </c>
      <c r="J74" s="114" t="s">
        <v>68</v>
      </c>
      <c r="K74" s="114" t="s">
        <v>576</v>
      </c>
      <c r="L74" s="114" t="s">
        <v>615</v>
      </c>
      <c r="M74" s="114" t="s">
        <v>616</v>
      </c>
      <c r="N74" s="119">
        <v>2</v>
      </c>
      <c r="O74" s="117" t="s">
        <v>312</v>
      </c>
      <c r="P74" s="114" t="s">
        <v>617</v>
      </c>
      <c r="Q74" s="118">
        <v>8</v>
      </c>
      <c r="R74" s="43" t="s">
        <v>314</v>
      </c>
    </row>
    <row r="75" spans="2:18">
      <c r="B75" s="113">
        <v>62</v>
      </c>
      <c r="C75" s="114" t="s">
        <v>328</v>
      </c>
      <c r="D75" s="115" t="s">
        <v>303</v>
      </c>
      <c r="E75" s="114" t="s">
        <v>304</v>
      </c>
      <c r="F75" s="114" t="s">
        <v>618</v>
      </c>
      <c r="G75" s="116">
        <v>19781013</v>
      </c>
      <c r="H75" s="114" t="s">
        <v>424</v>
      </c>
      <c r="I75" s="114" t="s">
        <v>368</v>
      </c>
      <c r="J75" s="114" t="s">
        <v>68</v>
      </c>
      <c r="K75" s="114" t="s">
        <v>576</v>
      </c>
      <c r="L75" s="114" t="s">
        <v>619</v>
      </c>
      <c r="M75" s="114" t="s">
        <v>620</v>
      </c>
      <c r="N75" s="114">
        <v>2</v>
      </c>
      <c r="O75" s="117" t="s">
        <v>312</v>
      </c>
      <c r="P75" s="114" t="s">
        <v>621</v>
      </c>
      <c r="Q75" s="118">
        <v>8</v>
      </c>
      <c r="R75" s="43" t="s">
        <v>314</v>
      </c>
    </row>
    <row r="76" spans="2:18">
      <c r="B76" s="113">
        <v>63</v>
      </c>
      <c r="C76" s="114" t="s">
        <v>328</v>
      </c>
      <c r="D76" s="115" t="s">
        <v>303</v>
      </c>
      <c r="E76" s="114" t="s">
        <v>304</v>
      </c>
      <c r="F76" s="114" t="s">
        <v>622</v>
      </c>
      <c r="G76" s="116">
        <v>19750629</v>
      </c>
      <c r="H76" s="114" t="s">
        <v>367</v>
      </c>
      <c r="I76" s="114" t="s">
        <v>368</v>
      </c>
      <c r="J76" s="114" t="s">
        <v>623</v>
      </c>
      <c r="K76" s="114" t="s">
        <v>319</v>
      </c>
      <c r="L76" s="114" t="s">
        <v>624</v>
      </c>
      <c r="M76" s="114" t="s">
        <v>625</v>
      </c>
      <c r="N76" s="114">
        <v>3</v>
      </c>
      <c r="O76" s="117" t="s">
        <v>312</v>
      </c>
      <c r="P76" s="114" t="s">
        <v>626</v>
      </c>
      <c r="Q76" s="118">
        <v>8</v>
      </c>
      <c r="R76" s="43" t="s">
        <v>314</v>
      </c>
    </row>
    <row r="77" spans="2:18">
      <c r="B77" s="113">
        <v>64</v>
      </c>
      <c r="C77" s="114" t="s">
        <v>302</v>
      </c>
      <c r="D77" s="115" t="s">
        <v>303</v>
      </c>
      <c r="E77" s="114" t="s">
        <v>304</v>
      </c>
      <c r="F77" s="114" t="s">
        <v>627</v>
      </c>
      <c r="G77" s="116">
        <v>19880117</v>
      </c>
      <c r="H77" s="114" t="s">
        <v>367</v>
      </c>
      <c r="I77" s="114" t="s">
        <v>368</v>
      </c>
      <c r="J77" s="114" t="s">
        <v>628</v>
      </c>
      <c r="K77" s="114" t="s">
        <v>319</v>
      </c>
      <c r="L77" s="114" t="s">
        <v>629</v>
      </c>
      <c r="M77" s="114" t="s">
        <v>630</v>
      </c>
      <c r="N77" s="114">
        <v>3</v>
      </c>
      <c r="O77" s="117" t="s">
        <v>312</v>
      </c>
      <c r="P77" s="114" t="s">
        <v>631</v>
      </c>
      <c r="Q77" s="118">
        <v>8</v>
      </c>
      <c r="R77" s="43" t="s">
        <v>314</v>
      </c>
    </row>
    <row r="78" spans="2:18">
      <c r="B78" s="113">
        <v>65</v>
      </c>
      <c r="C78" s="114" t="s">
        <v>302</v>
      </c>
      <c r="D78" s="115" t="s">
        <v>303</v>
      </c>
      <c r="E78" s="114" t="s">
        <v>304</v>
      </c>
      <c r="F78" s="114" t="s">
        <v>632</v>
      </c>
      <c r="G78" s="116">
        <v>19811110</v>
      </c>
      <c r="H78" s="114" t="s">
        <v>367</v>
      </c>
      <c r="I78" s="114" t="s">
        <v>368</v>
      </c>
      <c r="J78" s="114" t="s">
        <v>633</v>
      </c>
      <c r="K78" s="114" t="s">
        <v>319</v>
      </c>
      <c r="L78" s="114" t="s">
        <v>634</v>
      </c>
      <c r="M78" s="114" t="s">
        <v>635</v>
      </c>
      <c r="N78" s="114">
        <v>8</v>
      </c>
      <c r="O78" s="117" t="s">
        <v>312</v>
      </c>
      <c r="P78" s="114" t="s">
        <v>636</v>
      </c>
      <c r="Q78" s="118">
        <v>8</v>
      </c>
      <c r="R78" s="43" t="s">
        <v>314</v>
      </c>
    </row>
    <row r="79" spans="2:18">
      <c r="B79" s="113">
        <v>66</v>
      </c>
      <c r="C79" s="114" t="s">
        <v>328</v>
      </c>
      <c r="D79" s="115" t="s">
        <v>303</v>
      </c>
      <c r="E79" s="114" t="s">
        <v>304</v>
      </c>
      <c r="F79" s="114" t="s">
        <v>637</v>
      </c>
      <c r="G79" s="116">
        <v>19771129</v>
      </c>
      <c r="H79" s="114" t="s">
        <v>424</v>
      </c>
      <c r="I79" s="114" t="s">
        <v>368</v>
      </c>
      <c r="J79" s="114" t="s">
        <v>638</v>
      </c>
      <c r="K79" s="114" t="s">
        <v>319</v>
      </c>
      <c r="L79" s="114" t="s">
        <v>639</v>
      </c>
      <c r="M79" s="114" t="s">
        <v>640</v>
      </c>
      <c r="N79" s="114">
        <v>14</v>
      </c>
      <c r="O79" s="117" t="s">
        <v>312</v>
      </c>
      <c r="P79" s="114" t="s">
        <v>641</v>
      </c>
      <c r="Q79" s="118">
        <v>8</v>
      </c>
      <c r="R79" s="43" t="s">
        <v>314</v>
      </c>
    </row>
    <row r="80" spans="2:18">
      <c r="B80" s="113">
        <v>67</v>
      </c>
      <c r="C80" s="114" t="s">
        <v>328</v>
      </c>
      <c r="D80" s="115" t="s">
        <v>303</v>
      </c>
      <c r="E80" s="114" t="s">
        <v>315</v>
      </c>
      <c r="F80" s="114" t="s">
        <v>642</v>
      </c>
      <c r="G80" s="116">
        <v>19731120</v>
      </c>
      <c r="H80" s="114" t="s">
        <v>424</v>
      </c>
      <c r="I80" s="114" t="s">
        <v>368</v>
      </c>
      <c r="J80" s="114" t="s">
        <v>68</v>
      </c>
      <c r="K80" s="114" t="s">
        <v>576</v>
      </c>
      <c r="L80" s="114" t="s">
        <v>643</v>
      </c>
      <c r="M80" s="114" t="s">
        <v>644</v>
      </c>
      <c r="N80" s="114">
        <v>4</v>
      </c>
      <c r="O80" s="117" t="s">
        <v>312</v>
      </c>
      <c r="P80" s="114" t="s">
        <v>645</v>
      </c>
      <c r="Q80" s="118">
        <v>8</v>
      </c>
      <c r="R80" s="43" t="s">
        <v>314</v>
      </c>
    </row>
    <row r="81" spans="2:18">
      <c r="B81" s="113">
        <v>68</v>
      </c>
      <c r="C81" s="114" t="s">
        <v>328</v>
      </c>
      <c r="D81" s="115" t="s">
        <v>303</v>
      </c>
      <c r="E81" s="114" t="s">
        <v>304</v>
      </c>
      <c r="F81" s="114" t="s">
        <v>646</v>
      </c>
      <c r="G81" s="116">
        <v>19850909</v>
      </c>
      <c r="H81" s="114" t="s">
        <v>424</v>
      </c>
      <c r="I81" s="114" t="s">
        <v>368</v>
      </c>
      <c r="J81" s="114" t="s">
        <v>647</v>
      </c>
      <c r="K81" s="114" t="s">
        <v>319</v>
      </c>
      <c r="L81" s="114" t="s">
        <v>582</v>
      </c>
      <c r="M81" s="114" t="s">
        <v>648</v>
      </c>
      <c r="N81" s="114">
        <v>4</v>
      </c>
      <c r="O81" s="117" t="s">
        <v>312</v>
      </c>
      <c r="P81" s="114" t="s">
        <v>649</v>
      </c>
      <c r="Q81" s="118">
        <v>8</v>
      </c>
      <c r="R81" s="43" t="s">
        <v>314</v>
      </c>
    </row>
    <row r="82" spans="2:18">
      <c r="B82" s="113">
        <v>69</v>
      </c>
      <c r="C82" s="114" t="s">
        <v>302</v>
      </c>
      <c r="D82" s="115" t="s">
        <v>303</v>
      </c>
      <c r="E82" s="114" t="s">
        <v>304</v>
      </c>
      <c r="F82" s="114" t="s">
        <v>650</v>
      </c>
      <c r="G82" s="116">
        <v>19810308</v>
      </c>
      <c r="H82" s="114" t="s">
        <v>368</v>
      </c>
      <c r="I82" s="114" t="s">
        <v>368</v>
      </c>
      <c r="J82" s="114" t="s">
        <v>651</v>
      </c>
      <c r="K82" s="114" t="s">
        <v>319</v>
      </c>
      <c r="L82" s="114" t="s">
        <v>652</v>
      </c>
      <c r="M82" s="114" t="s">
        <v>653</v>
      </c>
      <c r="N82" s="114">
        <v>6</v>
      </c>
      <c r="O82" s="117" t="s">
        <v>312</v>
      </c>
      <c r="P82" s="114" t="s">
        <v>654</v>
      </c>
      <c r="Q82" s="118">
        <v>8</v>
      </c>
      <c r="R82" s="43" t="s">
        <v>314</v>
      </c>
    </row>
    <row r="83" spans="2:18">
      <c r="B83" s="113">
        <v>70</v>
      </c>
      <c r="C83" s="114" t="s">
        <v>328</v>
      </c>
      <c r="D83" s="115" t="s">
        <v>303</v>
      </c>
      <c r="E83" s="114" t="s">
        <v>304</v>
      </c>
      <c r="F83" s="114" t="s">
        <v>655</v>
      </c>
      <c r="G83" s="116">
        <v>19720925</v>
      </c>
      <c r="H83" s="114" t="s">
        <v>656</v>
      </c>
      <c r="I83" s="114" t="s">
        <v>368</v>
      </c>
      <c r="J83" s="114" t="s">
        <v>657</v>
      </c>
      <c r="K83" s="114" t="s">
        <v>319</v>
      </c>
      <c r="L83" s="114" t="s">
        <v>658</v>
      </c>
      <c r="M83" s="114" t="s">
        <v>659</v>
      </c>
      <c r="N83" s="114">
        <v>7</v>
      </c>
      <c r="O83" s="117" t="s">
        <v>312</v>
      </c>
      <c r="P83" s="114" t="s">
        <v>660</v>
      </c>
      <c r="Q83" s="118">
        <v>8</v>
      </c>
      <c r="R83" s="43" t="s">
        <v>314</v>
      </c>
    </row>
    <row r="84" spans="2:18">
      <c r="B84" s="113">
        <v>71</v>
      </c>
      <c r="C84" s="114" t="s">
        <v>328</v>
      </c>
      <c r="D84" s="115" t="s">
        <v>363</v>
      </c>
      <c r="E84" s="114" t="s">
        <v>304</v>
      </c>
      <c r="F84" s="114" t="s">
        <v>661</v>
      </c>
      <c r="G84" s="116">
        <v>19820401</v>
      </c>
      <c r="H84" s="114" t="s">
        <v>424</v>
      </c>
      <c r="I84" s="114" t="s">
        <v>368</v>
      </c>
      <c r="J84" s="114" t="s">
        <v>662</v>
      </c>
      <c r="K84" s="114" t="s">
        <v>319</v>
      </c>
      <c r="L84" s="114" t="s">
        <v>663</v>
      </c>
      <c r="M84" s="114" t="s">
        <v>664</v>
      </c>
      <c r="N84" s="114">
        <v>18</v>
      </c>
      <c r="O84" s="117" t="s">
        <v>312</v>
      </c>
      <c r="P84" s="114" t="s">
        <v>665</v>
      </c>
      <c r="Q84" s="118">
        <v>8</v>
      </c>
      <c r="R84" s="43" t="s">
        <v>314</v>
      </c>
    </row>
    <row r="85" spans="2:18">
      <c r="B85" s="113">
        <v>72</v>
      </c>
      <c r="C85" s="114" t="s">
        <v>328</v>
      </c>
      <c r="D85" s="115" t="s">
        <v>363</v>
      </c>
      <c r="E85" s="114" t="s">
        <v>315</v>
      </c>
      <c r="F85" s="114" t="s">
        <v>666</v>
      </c>
      <c r="G85" s="116">
        <v>19770509</v>
      </c>
      <c r="H85" s="114" t="s">
        <v>424</v>
      </c>
      <c r="I85" s="114" t="s">
        <v>368</v>
      </c>
      <c r="J85" s="114" t="s">
        <v>667</v>
      </c>
      <c r="K85" s="114" t="s">
        <v>319</v>
      </c>
      <c r="L85" s="114" t="s">
        <v>668</v>
      </c>
      <c r="M85" s="114" t="s">
        <v>669</v>
      </c>
      <c r="N85" s="114">
        <v>5</v>
      </c>
      <c r="O85" s="117" t="s">
        <v>312</v>
      </c>
      <c r="P85" s="114" t="s">
        <v>670</v>
      </c>
      <c r="Q85" s="118">
        <v>8</v>
      </c>
      <c r="R85" s="43" t="s">
        <v>314</v>
      </c>
    </row>
    <row r="86" spans="2:18">
      <c r="B86" s="113">
        <v>73</v>
      </c>
      <c r="C86" s="114" t="s">
        <v>328</v>
      </c>
      <c r="D86" s="115" t="s">
        <v>363</v>
      </c>
      <c r="E86" s="114" t="s">
        <v>315</v>
      </c>
      <c r="F86" s="114" t="s">
        <v>671</v>
      </c>
      <c r="G86" s="116">
        <v>19830311</v>
      </c>
      <c r="H86" s="114" t="s">
        <v>424</v>
      </c>
      <c r="I86" s="114" t="s">
        <v>368</v>
      </c>
      <c r="J86" s="114" t="s">
        <v>672</v>
      </c>
      <c r="K86" s="114" t="s">
        <v>576</v>
      </c>
      <c r="L86" s="114" t="s">
        <v>673</v>
      </c>
      <c r="M86" s="114" t="s">
        <v>674</v>
      </c>
      <c r="N86" s="114">
        <v>3</v>
      </c>
      <c r="O86" s="117" t="s">
        <v>312</v>
      </c>
      <c r="P86" s="114" t="s">
        <v>675</v>
      </c>
      <c r="Q86" s="118">
        <v>8</v>
      </c>
      <c r="R86" s="43" t="s">
        <v>314</v>
      </c>
    </row>
    <row r="87" spans="2:18">
      <c r="B87" s="113">
        <v>74</v>
      </c>
      <c r="C87" s="114" t="s">
        <v>328</v>
      </c>
      <c r="D87" s="115" t="s">
        <v>363</v>
      </c>
      <c r="E87" s="114" t="s">
        <v>304</v>
      </c>
      <c r="F87" s="114" t="s">
        <v>676</v>
      </c>
      <c r="G87" s="116">
        <v>19770610</v>
      </c>
      <c r="H87" s="114" t="s">
        <v>424</v>
      </c>
      <c r="I87" s="114" t="s">
        <v>368</v>
      </c>
      <c r="J87" s="114" t="s">
        <v>456</v>
      </c>
      <c r="K87" s="114" t="s">
        <v>319</v>
      </c>
      <c r="L87" s="114" t="s">
        <v>677</v>
      </c>
      <c r="M87" s="114" t="s">
        <v>678</v>
      </c>
      <c r="N87" s="114">
        <v>5</v>
      </c>
      <c r="O87" s="117" t="s">
        <v>312</v>
      </c>
      <c r="P87" s="114" t="s">
        <v>679</v>
      </c>
      <c r="Q87" s="118">
        <v>8</v>
      </c>
      <c r="R87" s="43" t="s">
        <v>314</v>
      </c>
    </row>
    <row r="88" spans="2:18">
      <c r="B88" s="113">
        <v>75</v>
      </c>
      <c r="C88" s="114" t="s">
        <v>302</v>
      </c>
      <c r="D88" s="115" t="s">
        <v>363</v>
      </c>
      <c r="E88" s="114" t="s">
        <v>304</v>
      </c>
      <c r="F88" s="114" t="s">
        <v>680</v>
      </c>
      <c r="G88" s="116">
        <v>19791220</v>
      </c>
      <c r="H88" s="114" t="s">
        <v>424</v>
      </c>
      <c r="I88" s="114" t="s">
        <v>368</v>
      </c>
      <c r="J88" s="114" t="s">
        <v>681</v>
      </c>
      <c r="K88" s="114" t="s">
        <v>319</v>
      </c>
      <c r="L88" s="114" t="s">
        <v>682</v>
      </c>
      <c r="M88" s="114" t="s">
        <v>683</v>
      </c>
      <c r="N88" s="114">
        <v>21</v>
      </c>
      <c r="O88" s="117" t="s">
        <v>312</v>
      </c>
      <c r="P88" s="114" t="s">
        <v>684</v>
      </c>
      <c r="Q88" s="118">
        <v>8</v>
      </c>
      <c r="R88" s="43" t="s">
        <v>314</v>
      </c>
    </row>
    <row r="89" spans="2:18">
      <c r="B89" s="113">
        <v>76</v>
      </c>
      <c r="C89" s="114" t="s">
        <v>328</v>
      </c>
      <c r="D89" s="115" t="s">
        <v>363</v>
      </c>
      <c r="E89" s="114" t="s">
        <v>304</v>
      </c>
      <c r="F89" s="114" t="s">
        <v>685</v>
      </c>
      <c r="G89" s="116">
        <v>19870516</v>
      </c>
      <c r="H89" s="114" t="s">
        <v>424</v>
      </c>
      <c r="I89" s="114" t="s">
        <v>368</v>
      </c>
      <c r="J89" s="114" t="s">
        <v>686</v>
      </c>
      <c r="K89" s="114" t="s">
        <v>319</v>
      </c>
      <c r="L89" s="114" t="s">
        <v>687</v>
      </c>
      <c r="M89" s="114" t="s">
        <v>688</v>
      </c>
      <c r="N89" s="114">
        <v>2</v>
      </c>
      <c r="O89" s="117" t="s">
        <v>312</v>
      </c>
      <c r="P89" s="114" t="s">
        <v>689</v>
      </c>
      <c r="Q89" s="118">
        <v>8</v>
      </c>
      <c r="R89" s="43" t="s">
        <v>314</v>
      </c>
    </row>
    <row r="90" spans="2:18">
      <c r="B90" s="113">
        <v>77</v>
      </c>
      <c r="C90" s="114" t="s">
        <v>302</v>
      </c>
      <c r="D90" s="115" t="s">
        <v>363</v>
      </c>
      <c r="E90" s="114" t="s">
        <v>304</v>
      </c>
      <c r="F90" s="114" t="s">
        <v>690</v>
      </c>
      <c r="G90" s="116">
        <v>19770303</v>
      </c>
      <c r="H90" s="114" t="s">
        <v>691</v>
      </c>
      <c r="I90" s="114" t="s">
        <v>368</v>
      </c>
      <c r="J90" s="114" t="s">
        <v>692</v>
      </c>
      <c r="K90" s="114" t="s">
        <v>309</v>
      </c>
      <c r="L90" s="114" t="s">
        <v>370</v>
      </c>
      <c r="M90" s="114" t="s">
        <v>693</v>
      </c>
      <c r="N90" s="114">
        <v>3</v>
      </c>
      <c r="O90" s="117" t="s">
        <v>312</v>
      </c>
      <c r="P90" s="114" t="s">
        <v>694</v>
      </c>
      <c r="Q90" s="118">
        <v>8</v>
      </c>
      <c r="R90" s="43" t="s">
        <v>314</v>
      </c>
    </row>
    <row r="91" spans="2:18">
      <c r="B91" s="113">
        <v>78</v>
      </c>
      <c r="C91" s="114" t="s">
        <v>328</v>
      </c>
      <c r="D91" s="115" t="s">
        <v>363</v>
      </c>
      <c r="E91" s="114" t="s">
        <v>304</v>
      </c>
      <c r="F91" s="114" t="s">
        <v>695</v>
      </c>
      <c r="G91" s="116">
        <v>19861128</v>
      </c>
      <c r="H91" s="114" t="s">
        <v>367</v>
      </c>
      <c r="I91" s="114" t="s">
        <v>368</v>
      </c>
      <c r="J91" s="114" t="s">
        <v>462</v>
      </c>
      <c r="K91" s="114" t="s">
        <v>319</v>
      </c>
      <c r="L91" s="114" t="s">
        <v>696</v>
      </c>
      <c r="M91" s="114" t="s">
        <v>697</v>
      </c>
      <c r="N91" s="114">
        <v>2</v>
      </c>
      <c r="O91" s="117" t="s">
        <v>312</v>
      </c>
      <c r="P91" s="114" t="s">
        <v>698</v>
      </c>
      <c r="Q91" s="118">
        <v>8</v>
      </c>
      <c r="R91" s="43" t="s">
        <v>314</v>
      </c>
    </row>
    <row r="92" spans="2:18">
      <c r="B92" s="113">
        <v>79</v>
      </c>
      <c r="C92" s="114" t="s">
        <v>302</v>
      </c>
      <c r="D92" s="115" t="s">
        <v>363</v>
      </c>
      <c r="E92" s="114" t="s">
        <v>304</v>
      </c>
      <c r="F92" s="114" t="s">
        <v>699</v>
      </c>
      <c r="G92" s="116">
        <v>19780521</v>
      </c>
      <c r="H92" s="114" t="s">
        <v>424</v>
      </c>
      <c r="I92" s="114" t="s">
        <v>368</v>
      </c>
      <c r="J92" s="114" t="s">
        <v>700</v>
      </c>
      <c r="K92" s="114" t="s">
        <v>319</v>
      </c>
      <c r="L92" s="114" t="s">
        <v>402</v>
      </c>
      <c r="M92" s="114" t="s">
        <v>701</v>
      </c>
      <c r="N92" s="114">
        <v>6</v>
      </c>
      <c r="O92" s="117" t="s">
        <v>312</v>
      </c>
      <c r="P92" s="114" t="s">
        <v>702</v>
      </c>
      <c r="Q92" s="118">
        <v>8</v>
      </c>
      <c r="R92" s="43" t="s">
        <v>314</v>
      </c>
    </row>
    <row r="93" spans="2:18">
      <c r="B93" s="113">
        <v>80</v>
      </c>
      <c r="C93" s="114" t="s">
        <v>302</v>
      </c>
      <c r="D93" s="115" t="s">
        <v>363</v>
      </c>
      <c r="E93" s="114" t="s">
        <v>304</v>
      </c>
      <c r="F93" s="114" t="s">
        <v>703</v>
      </c>
      <c r="G93" s="116">
        <v>19781011</v>
      </c>
      <c r="H93" s="114" t="s">
        <v>367</v>
      </c>
      <c r="I93" s="114" t="s">
        <v>368</v>
      </c>
      <c r="J93" s="114" t="s">
        <v>704</v>
      </c>
      <c r="K93" s="114" t="s">
        <v>319</v>
      </c>
      <c r="L93" s="114" t="s">
        <v>705</v>
      </c>
      <c r="M93" s="114" t="s">
        <v>706</v>
      </c>
      <c r="N93" s="114">
        <v>14</v>
      </c>
      <c r="O93" s="117" t="s">
        <v>312</v>
      </c>
      <c r="P93" s="114" t="s">
        <v>707</v>
      </c>
      <c r="Q93" s="118">
        <v>8</v>
      </c>
      <c r="R93" s="43" t="s">
        <v>314</v>
      </c>
    </row>
    <row r="94" spans="2:18">
      <c r="B94" s="113">
        <v>81</v>
      </c>
      <c r="C94" s="114" t="s">
        <v>302</v>
      </c>
      <c r="D94" s="115" t="s">
        <v>417</v>
      </c>
      <c r="E94" s="114" t="s">
        <v>315</v>
      </c>
      <c r="F94" s="114" t="s">
        <v>708</v>
      </c>
      <c r="G94" s="116">
        <v>19800226</v>
      </c>
      <c r="H94" s="114" t="s">
        <v>367</v>
      </c>
      <c r="I94" s="114" t="s">
        <v>368</v>
      </c>
      <c r="J94" s="114" t="s">
        <v>709</v>
      </c>
      <c r="K94" s="114" t="s">
        <v>319</v>
      </c>
      <c r="L94" s="114" t="s">
        <v>402</v>
      </c>
      <c r="M94" s="114" t="s">
        <v>710</v>
      </c>
      <c r="N94" s="114">
        <v>6</v>
      </c>
      <c r="O94" s="117" t="s">
        <v>312</v>
      </c>
      <c r="P94" s="114" t="s">
        <v>711</v>
      </c>
      <c r="Q94" s="118">
        <v>8</v>
      </c>
      <c r="R94" s="43" t="s">
        <v>314</v>
      </c>
    </row>
    <row r="95" spans="2:18">
      <c r="B95" s="113">
        <v>82</v>
      </c>
      <c r="C95" s="114" t="s">
        <v>302</v>
      </c>
      <c r="D95" s="115" t="s">
        <v>417</v>
      </c>
      <c r="E95" s="114" t="s">
        <v>304</v>
      </c>
      <c r="F95" s="114" t="s">
        <v>712</v>
      </c>
      <c r="G95" s="116">
        <v>19730820</v>
      </c>
      <c r="H95" s="114" t="s">
        <v>367</v>
      </c>
      <c r="I95" s="114" t="s">
        <v>368</v>
      </c>
      <c r="J95" s="114" t="s">
        <v>713</v>
      </c>
      <c r="K95" s="114" t="s">
        <v>319</v>
      </c>
      <c r="L95" s="114" t="s">
        <v>714</v>
      </c>
      <c r="M95" s="114" t="s">
        <v>715</v>
      </c>
      <c r="N95" s="114">
        <v>10</v>
      </c>
      <c r="O95" s="117" t="s">
        <v>312</v>
      </c>
      <c r="P95" s="114" t="s">
        <v>716</v>
      </c>
      <c r="Q95" s="118">
        <v>8</v>
      </c>
      <c r="R95" s="43" t="s">
        <v>314</v>
      </c>
    </row>
    <row r="96" spans="2:18">
      <c r="B96" s="113">
        <v>83</v>
      </c>
      <c r="C96" s="114" t="s">
        <v>328</v>
      </c>
      <c r="D96" s="115" t="s">
        <v>417</v>
      </c>
      <c r="E96" s="114" t="s">
        <v>304</v>
      </c>
      <c r="F96" s="114" t="s">
        <v>717</v>
      </c>
      <c r="G96" s="116">
        <v>19801214</v>
      </c>
      <c r="H96" s="114" t="s">
        <v>424</v>
      </c>
      <c r="I96" s="114" t="s">
        <v>368</v>
      </c>
      <c r="J96" s="114" t="s">
        <v>718</v>
      </c>
      <c r="K96" s="114" t="s">
        <v>576</v>
      </c>
      <c r="L96" s="114" t="s">
        <v>719</v>
      </c>
      <c r="M96" s="114" t="s">
        <v>720</v>
      </c>
      <c r="N96" s="114">
        <v>19</v>
      </c>
      <c r="O96" s="117" t="s">
        <v>312</v>
      </c>
      <c r="P96" s="114" t="s">
        <v>721</v>
      </c>
      <c r="Q96" s="118">
        <v>8</v>
      </c>
      <c r="R96" s="43" t="s">
        <v>314</v>
      </c>
    </row>
    <row r="97" spans="2:18">
      <c r="B97" s="113">
        <v>84</v>
      </c>
      <c r="C97" s="114" t="s">
        <v>328</v>
      </c>
      <c r="D97" s="115" t="s">
        <v>417</v>
      </c>
      <c r="E97" s="114" t="s">
        <v>304</v>
      </c>
      <c r="F97" s="114" t="s">
        <v>722</v>
      </c>
      <c r="G97" s="116">
        <v>19841225</v>
      </c>
      <c r="H97" s="114" t="s">
        <v>424</v>
      </c>
      <c r="I97" s="114" t="s">
        <v>368</v>
      </c>
      <c r="J97" s="114" t="s">
        <v>723</v>
      </c>
      <c r="K97" s="114" t="s">
        <v>319</v>
      </c>
      <c r="L97" s="114" t="s">
        <v>724</v>
      </c>
      <c r="M97" s="114" t="s">
        <v>725</v>
      </c>
      <c r="N97" s="114">
        <v>15</v>
      </c>
      <c r="O97" s="117" t="s">
        <v>312</v>
      </c>
      <c r="P97" s="114" t="s">
        <v>726</v>
      </c>
      <c r="Q97" s="118">
        <v>8</v>
      </c>
      <c r="R97" s="43" t="s">
        <v>314</v>
      </c>
    </row>
    <row r="98" spans="2:18">
      <c r="B98" s="113">
        <v>85</v>
      </c>
      <c r="C98" s="114" t="s">
        <v>302</v>
      </c>
      <c r="D98" s="115" t="s">
        <v>417</v>
      </c>
      <c r="E98" s="114" t="s">
        <v>304</v>
      </c>
      <c r="F98" s="114" t="s">
        <v>727</v>
      </c>
      <c r="G98" s="116">
        <v>19780913</v>
      </c>
      <c r="H98" s="114" t="s">
        <v>367</v>
      </c>
      <c r="I98" s="114" t="s">
        <v>368</v>
      </c>
      <c r="J98" s="114" t="s">
        <v>728</v>
      </c>
      <c r="K98" s="114" t="s">
        <v>319</v>
      </c>
      <c r="L98" s="114" t="s">
        <v>729</v>
      </c>
      <c r="M98" s="114" t="s">
        <v>730</v>
      </c>
      <c r="N98" s="114">
        <v>11</v>
      </c>
      <c r="O98" s="117" t="s">
        <v>312</v>
      </c>
      <c r="P98" s="114" t="s">
        <v>731</v>
      </c>
      <c r="Q98" s="118">
        <v>8</v>
      </c>
      <c r="R98" s="43" t="s">
        <v>314</v>
      </c>
    </row>
    <row r="99" spans="2:18">
      <c r="B99" s="113">
        <v>86</v>
      </c>
      <c r="C99" s="114" t="s">
        <v>302</v>
      </c>
      <c r="D99" s="115" t="s">
        <v>417</v>
      </c>
      <c r="E99" s="114" t="s">
        <v>315</v>
      </c>
      <c r="F99" s="114" t="s">
        <v>732</v>
      </c>
      <c r="G99" s="116">
        <v>19760212</v>
      </c>
      <c r="H99" s="114" t="s">
        <v>424</v>
      </c>
      <c r="I99" s="114" t="s">
        <v>368</v>
      </c>
      <c r="J99" s="114" t="s">
        <v>733</v>
      </c>
      <c r="K99" s="114" t="s">
        <v>319</v>
      </c>
      <c r="L99" s="114" t="s">
        <v>734</v>
      </c>
      <c r="M99" s="114" t="s">
        <v>735</v>
      </c>
      <c r="N99" s="114">
        <v>23</v>
      </c>
      <c r="O99" s="117" t="s">
        <v>312</v>
      </c>
      <c r="P99" s="114" t="s">
        <v>736</v>
      </c>
      <c r="Q99" s="118">
        <v>8</v>
      </c>
      <c r="R99" s="43" t="s">
        <v>314</v>
      </c>
    </row>
    <row r="100" spans="2:18">
      <c r="B100" s="113">
        <v>87</v>
      </c>
      <c r="C100" s="114" t="s">
        <v>302</v>
      </c>
      <c r="D100" s="115" t="s">
        <v>417</v>
      </c>
      <c r="E100" s="114" t="s">
        <v>304</v>
      </c>
      <c r="F100" s="114" t="s">
        <v>737</v>
      </c>
      <c r="G100" s="116">
        <v>19710316</v>
      </c>
      <c r="H100" s="114" t="s">
        <v>424</v>
      </c>
      <c r="I100" s="114" t="s">
        <v>368</v>
      </c>
      <c r="J100" s="114" t="s">
        <v>738</v>
      </c>
      <c r="K100" s="114" t="s">
        <v>319</v>
      </c>
      <c r="L100" s="114" t="s">
        <v>739</v>
      </c>
      <c r="M100" s="114" t="s">
        <v>740</v>
      </c>
      <c r="N100" s="114">
        <v>9</v>
      </c>
      <c r="O100" s="117" t="s">
        <v>312</v>
      </c>
      <c r="P100" s="114" t="s">
        <v>741</v>
      </c>
      <c r="Q100" s="118">
        <v>8</v>
      </c>
      <c r="R100" s="43" t="s">
        <v>314</v>
      </c>
    </row>
    <row r="101" spans="2:18">
      <c r="B101" s="113">
        <v>88</v>
      </c>
      <c r="C101" s="114" t="s">
        <v>328</v>
      </c>
      <c r="D101" s="115" t="s">
        <v>417</v>
      </c>
      <c r="E101" s="114" t="s">
        <v>315</v>
      </c>
      <c r="F101" s="114" t="s">
        <v>742</v>
      </c>
      <c r="G101" s="116">
        <v>19850828</v>
      </c>
      <c r="H101" s="114" t="s">
        <v>367</v>
      </c>
      <c r="I101" s="114" t="s">
        <v>368</v>
      </c>
      <c r="J101" s="114" t="s">
        <v>743</v>
      </c>
      <c r="K101" s="114" t="s">
        <v>576</v>
      </c>
      <c r="L101" s="114" t="s">
        <v>744</v>
      </c>
      <c r="M101" s="114" t="s">
        <v>745</v>
      </c>
      <c r="N101" s="114">
        <v>2</v>
      </c>
      <c r="O101" s="117" t="s">
        <v>312</v>
      </c>
      <c r="P101" s="114" t="s">
        <v>746</v>
      </c>
      <c r="Q101" s="118">
        <v>8</v>
      </c>
      <c r="R101" s="43" t="s">
        <v>314</v>
      </c>
    </row>
    <row r="102" spans="2:18">
      <c r="B102" s="113">
        <v>89</v>
      </c>
      <c r="C102" s="114" t="s">
        <v>302</v>
      </c>
      <c r="D102" s="115" t="s">
        <v>417</v>
      </c>
      <c r="E102" s="114" t="s">
        <v>304</v>
      </c>
      <c r="F102" s="114" t="s">
        <v>747</v>
      </c>
      <c r="G102" s="116">
        <v>19761017</v>
      </c>
      <c r="H102" s="114" t="s">
        <v>424</v>
      </c>
      <c r="I102" s="114" t="s">
        <v>368</v>
      </c>
      <c r="J102" s="114" t="s">
        <v>748</v>
      </c>
      <c r="K102" s="114" t="s">
        <v>319</v>
      </c>
      <c r="L102" s="114" t="s">
        <v>749</v>
      </c>
      <c r="M102" s="114" t="s">
        <v>750</v>
      </c>
      <c r="N102" s="114">
        <v>8</v>
      </c>
      <c r="O102" s="117" t="s">
        <v>312</v>
      </c>
      <c r="P102" s="114" t="s">
        <v>751</v>
      </c>
      <c r="Q102" s="118">
        <v>8</v>
      </c>
      <c r="R102" s="43" t="s">
        <v>314</v>
      </c>
    </row>
    <row r="103" spans="2:18">
      <c r="B103" s="113">
        <v>90</v>
      </c>
      <c r="C103" s="114" t="s">
        <v>328</v>
      </c>
      <c r="D103" s="115" t="s">
        <v>417</v>
      </c>
      <c r="E103" s="114" t="s">
        <v>315</v>
      </c>
      <c r="F103" s="114" t="s">
        <v>752</v>
      </c>
      <c r="G103" s="116">
        <v>19710401</v>
      </c>
      <c r="H103" s="114" t="s">
        <v>753</v>
      </c>
      <c r="I103" s="114" t="s">
        <v>368</v>
      </c>
      <c r="J103" s="114" t="s">
        <v>754</v>
      </c>
      <c r="K103" s="114" t="s">
        <v>309</v>
      </c>
      <c r="L103" s="114" t="s">
        <v>755</v>
      </c>
      <c r="M103" s="114" t="s">
        <v>756</v>
      </c>
      <c r="N103" s="114">
        <v>3</v>
      </c>
      <c r="O103" s="117" t="s">
        <v>312</v>
      </c>
      <c r="P103" s="114" t="s">
        <v>757</v>
      </c>
      <c r="Q103" s="118">
        <v>8</v>
      </c>
      <c r="R103" s="43" t="s">
        <v>314</v>
      </c>
    </row>
    <row r="104" spans="2:18">
      <c r="B104" s="113">
        <v>91</v>
      </c>
      <c r="C104" s="114" t="s">
        <v>328</v>
      </c>
      <c r="D104" s="115" t="s">
        <v>467</v>
      </c>
      <c r="E104" s="114" t="s">
        <v>304</v>
      </c>
      <c r="F104" s="114" t="s">
        <v>758</v>
      </c>
      <c r="G104" s="116">
        <v>19751105</v>
      </c>
      <c r="H104" s="114" t="s">
        <v>424</v>
      </c>
      <c r="I104" s="114" t="s">
        <v>368</v>
      </c>
      <c r="J104" s="114" t="s">
        <v>429</v>
      </c>
      <c r="K104" s="114" t="s">
        <v>319</v>
      </c>
      <c r="L104" s="114" t="s">
        <v>759</v>
      </c>
      <c r="M104" s="114" t="s">
        <v>760</v>
      </c>
      <c r="N104" s="114">
        <v>2</v>
      </c>
      <c r="O104" s="117" t="s">
        <v>312</v>
      </c>
      <c r="P104" s="114" t="s">
        <v>761</v>
      </c>
      <c r="Q104" s="118">
        <v>8</v>
      </c>
      <c r="R104" s="43" t="s">
        <v>314</v>
      </c>
    </row>
    <row r="105" spans="2:18">
      <c r="B105" s="113">
        <v>92</v>
      </c>
      <c r="C105" s="114" t="s">
        <v>328</v>
      </c>
      <c r="D105" s="115" t="s">
        <v>467</v>
      </c>
      <c r="E105" s="114" t="s">
        <v>315</v>
      </c>
      <c r="F105" s="114" t="s">
        <v>762</v>
      </c>
      <c r="G105" s="116">
        <v>19820123</v>
      </c>
      <c r="H105" s="114" t="s">
        <v>424</v>
      </c>
      <c r="I105" s="114" t="s">
        <v>368</v>
      </c>
      <c r="J105" s="114" t="s">
        <v>763</v>
      </c>
      <c r="K105" s="114" t="s">
        <v>319</v>
      </c>
      <c r="L105" s="114" t="s">
        <v>764</v>
      </c>
      <c r="M105" s="114" t="s">
        <v>765</v>
      </c>
      <c r="N105" s="114">
        <v>3</v>
      </c>
      <c r="O105" s="117" t="s">
        <v>312</v>
      </c>
      <c r="P105" s="114" t="s">
        <v>766</v>
      </c>
      <c r="Q105" s="118">
        <v>8</v>
      </c>
      <c r="R105" s="43" t="s">
        <v>314</v>
      </c>
    </row>
    <row r="106" spans="2:18">
      <c r="B106" s="113">
        <v>93</v>
      </c>
      <c r="C106" s="114" t="s">
        <v>328</v>
      </c>
      <c r="D106" s="115" t="s">
        <v>467</v>
      </c>
      <c r="E106" s="114" t="s">
        <v>315</v>
      </c>
      <c r="F106" s="114" t="s">
        <v>767</v>
      </c>
      <c r="G106" s="116">
        <v>19720324</v>
      </c>
      <c r="H106" s="114" t="s">
        <v>768</v>
      </c>
      <c r="I106" s="114" t="s">
        <v>368</v>
      </c>
      <c r="J106" s="114" t="s">
        <v>769</v>
      </c>
      <c r="K106" s="114" t="s">
        <v>319</v>
      </c>
      <c r="L106" s="114" t="s">
        <v>770</v>
      </c>
      <c r="M106" s="114" t="s">
        <v>771</v>
      </c>
      <c r="N106" s="114">
        <v>3</v>
      </c>
      <c r="O106" s="117" t="s">
        <v>312</v>
      </c>
      <c r="P106" s="114" t="s">
        <v>772</v>
      </c>
      <c r="Q106" s="118">
        <v>8</v>
      </c>
      <c r="R106" s="43" t="s">
        <v>314</v>
      </c>
    </row>
    <row r="107" spans="2:18">
      <c r="B107" s="113">
        <v>94</v>
      </c>
      <c r="C107" s="114" t="s">
        <v>328</v>
      </c>
      <c r="D107" s="115" t="s">
        <v>467</v>
      </c>
      <c r="E107" s="114" t="s">
        <v>304</v>
      </c>
      <c r="F107" s="114" t="s">
        <v>773</v>
      </c>
      <c r="G107" s="116">
        <v>19780101</v>
      </c>
      <c r="H107" s="114" t="s">
        <v>367</v>
      </c>
      <c r="I107" s="114" t="s">
        <v>368</v>
      </c>
      <c r="J107" s="114" t="s">
        <v>774</v>
      </c>
      <c r="K107" s="114" t="s">
        <v>319</v>
      </c>
      <c r="L107" s="114" t="s">
        <v>775</v>
      </c>
      <c r="M107" s="114" t="s">
        <v>776</v>
      </c>
      <c r="N107" s="114">
        <v>6</v>
      </c>
      <c r="O107" s="117" t="s">
        <v>312</v>
      </c>
      <c r="P107" s="114" t="s">
        <v>777</v>
      </c>
      <c r="Q107" s="118">
        <v>8</v>
      </c>
      <c r="R107" s="43" t="s">
        <v>314</v>
      </c>
    </row>
    <row r="108" spans="2:18">
      <c r="B108" s="113">
        <v>95</v>
      </c>
      <c r="C108" s="114" t="s">
        <v>328</v>
      </c>
      <c r="D108" s="115" t="s">
        <v>467</v>
      </c>
      <c r="E108" s="114" t="s">
        <v>304</v>
      </c>
      <c r="F108" s="114" t="s">
        <v>778</v>
      </c>
      <c r="G108" s="116">
        <v>19771124</v>
      </c>
      <c r="H108" s="114" t="s">
        <v>367</v>
      </c>
      <c r="I108" s="114" t="s">
        <v>368</v>
      </c>
      <c r="J108" s="114" t="s">
        <v>779</v>
      </c>
      <c r="K108" s="114" t="s">
        <v>576</v>
      </c>
      <c r="L108" s="114" t="s">
        <v>780</v>
      </c>
      <c r="M108" s="114" t="s">
        <v>781</v>
      </c>
      <c r="N108" s="114">
        <v>11</v>
      </c>
      <c r="O108" s="117" t="s">
        <v>312</v>
      </c>
      <c r="P108" s="114" t="s">
        <v>782</v>
      </c>
      <c r="Q108" s="118">
        <v>8</v>
      </c>
      <c r="R108" s="43" t="s">
        <v>314</v>
      </c>
    </row>
    <row r="109" spans="2:18">
      <c r="B109" s="113">
        <v>96</v>
      </c>
      <c r="C109" s="114" t="s">
        <v>328</v>
      </c>
      <c r="D109" s="115" t="s">
        <v>467</v>
      </c>
      <c r="E109" s="114" t="s">
        <v>304</v>
      </c>
      <c r="F109" s="114" t="s">
        <v>783</v>
      </c>
      <c r="G109" s="116">
        <v>19710906</v>
      </c>
      <c r="H109" s="114" t="s">
        <v>424</v>
      </c>
      <c r="I109" s="114" t="s">
        <v>368</v>
      </c>
      <c r="J109" s="114" t="s">
        <v>738</v>
      </c>
      <c r="K109" s="114" t="s">
        <v>319</v>
      </c>
      <c r="L109" s="114" t="s">
        <v>784</v>
      </c>
      <c r="M109" s="114" t="s">
        <v>785</v>
      </c>
      <c r="N109" s="114">
        <v>7</v>
      </c>
      <c r="O109" s="117" t="s">
        <v>312</v>
      </c>
      <c r="P109" s="114" t="s">
        <v>786</v>
      </c>
      <c r="Q109" s="118">
        <v>8</v>
      </c>
      <c r="R109" s="43" t="s">
        <v>314</v>
      </c>
    </row>
    <row r="110" spans="2:18">
      <c r="B110" s="113">
        <v>97</v>
      </c>
      <c r="C110" s="114" t="s">
        <v>328</v>
      </c>
      <c r="D110" s="115" t="s">
        <v>467</v>
      </c>
      <c r="E110" s="114" t="s">
        <v>304</v>
      </c>
      <c r="F110" s="114" t="s">
        <v>787</v>
      </c>
      <c r="G110" s="116">
        <v>19780109</v>
      </c>
      <c r="H110" s="114" t="s">
        <v>424</v>
      </c>
      <c r="I110" s="114" t="s">
        <v>368</v>
      </c>
      <c r="J110" s="114" t="s">
        <v>788</v>
      </c>
      <c r="K110" s="114" t="s">
        <v>309</v>
      </c>
      <c r="L110" s="114" t="s">
        <v>759</v>
      </c>
      <c r="M110" s="114" t="s">
        <v>789</v>
      </c>
      <c r="N110" s="114">
        <v>2</v>
      </c>
      <c r="O110" s="117" t="s">
        <v>312</v>
      </c>
      <c r="P110" s="114" t="s">
        <v>790</v>
      </c>
      <c r="Q110" s="118">
        <v>8</v>
      </c>
      <c r="R110" s="43" t="s">
        <v>314</v>
      </c>
    </row>
    <row r="111" spans="2:18">
      <c r="B111" s="113">
        <v>98</v>
      </c>
      <c r="C111" s="114" t="s">
        <v>328</v>
      </c>
      <c r="D111" s="115" t="s">
        <v>467</v>
      </c>
      <c r="E111" s="114" t="s">
        <v>304</v>
      </c>
      <c r="F111" s="114" t="s">
        <v>791</v>
      </c>
      <c r="G111" s="116">
        <v>19710213</v>
      </c>
      <c r="H111" s="114" t="s">
        <v>792</v>
      </c>
      <c r="I111" s="114" t="s">
        <v>368</v>
      </c>
      <c r="J111" s="114" t="s">
        <v>429</v>
      </c>
      <c r="K111" s="114" t="s">
        <v>319</v>
      </c>
      <c r="L111" s="114" t="s">
        <v>793</v>
      </c>
      <c r="M111" s="114" t="s">
        <v>794</v>
      </c>
      <c r="N111" s="114">
        <v>2</v>
      </c>
      <c r="O111" s="117" t="s">
        <v>312</v>
      </c>
      <c r="P111" s="114" t="s">
        <v>795</v>
      </c>
      <c r="Q111" s="118">
        <v>8</v>
      </c>
      <c r="R111" s="43" t="s">
        <v>314</v>
      </c>
    </row>
    <row r="112" spans="2:18">
      <c r="B112" s="113">
        <v>99</v>
      </c>
      <c r="C112" s="114" t="s">
        <v>328</v>
      </c>
      <c r="D112" s="115" t="s">
        <v>467</v>
      </c>
      <c r="E112" s="114" t="s">
        <v>304</v>
      </c>
      <c r="F112" s="114" t="s">
        <v>796</v>
      </c>
      <c r="G112" s="116">
        <v>19771210</v>
      </c>
      <c r="H112" s="114" t="s">
        <v>424</v>
      </c>
      <c r="I112" s="114" t="s">
        <v>368</v>
      </c>
      <c r="J112" s="114" t="s">
        <v>797</v>
      </c>
      <c r="K112" s="114" t="s">
        <v>319</v>
      </c>
      <c r="L112" s="114" t="s">
        <v>798</v>
      </c>
      <c r="M112" s="114" t="s">
        <v>799</v>
      </c>
      <c r="N112" s="114">
        <v>7</v>
      </c>
      <c r="O112" s="117" t="s">
        <v>312</v>
      </c>
      <c r="P112" s="114" t="s">
        <v>800</v>
      </c>
      <c r="Q112" s="118">
        <v>8</v>
      </c>
      <c r="R112" s="43" t="s">
        <v>314</v>
      </c>
    </row>
    <row r="113" spans="2:18">
      <c r="B113" s="113">
        <v>100</v>
      </c>
      <c r="C113" s="114" t="s">
        <v>302</v>
      </c>
      <c r="D113" s="115" t="s">
        <v>467</v>
      </c>
      <c r="E113" s="114" t="s">
        <v>304</v>
      </c>
      <c r="F113" s="114" t="s">
        <v>801</v>
      </c>
      <c r="G113" s="116">
        <v>19691007</v>
      </c>
      <c r="H113" s="114" t="s">
        <v>802</v>
      </c>
      <c r="I113" s="114" t="s">
        <v>368</v>
      </c>
      <c r="J113" s="114" t="s">
        <v>803</v>
      </c>
      <c r="K113" s="114" t="s">
        <v>309</v>
      </c>
      <c r="L113" s="114" t="s">
        <v>804</v>
      </c>
      <c r="M113" s="114" t="s">
        <v>805</v>
      </c>
      <c r="N113" s="114">
        <v>11</v>
      </c>
      <c r="O113" s="117" t="s">
        <v>312</v>
      </c>
      <c r="P113" s="114" t="s">
        <v>806</v>
      </c>
      <c r="Q113" s="118">
        <v>8</v>
      </c>
      <c r="R113" s="43" t="s">
        <v>314</v>
      </c>
    </row>
    <row r="114" spans="2:18">
      <c r="B114" s="113">
        <v>101</v>
      </c>
      <c r="C114" s="114" t="s">
        <v>302</v>
      </c>
      <c r="D114" s="115" t="s">
        <v>517</v>
      </c>
      <c r="E114" s="114" t="s">
        <v>315</v>
      </c>
      <c r="F114" s="114" t="s">
        <v>807</v>
      </c>
      <c r="G114" s="116">
        <v>19831127</v>
      </c>
      <c r="H114" s="114" t="s">
        <v>808</v>
      </c>
      <c r="I114" s="114" t="s">
        <v>307</v>
      </c>
      <c r="J114" s="114" t="s">
        <v>809</v>
      </c>
      <c r="K114" s="114" t="s">
        <v>319</v>
      </c>
      <c r="L114" s="114" t="s">
        <v>490</v>
      </c>
      <c r="M114" s="114" t="s">
        <v>810</v>
      </c>
      <c r="N114" s="114">
        <v>14</v>
      </c>
      <c r="O114" s="117" t="s">
        <v>312</v>
      </c>
      <c r="P114" s="114" t="s">
        <v>811</v>
      </c>
      <c r="Q114" s="118">
        <v>8</v>
      </c>
      <c r="R114" s="43" t="s">
        <v>314</v>
      </c>
    </row>
    <row r="115" spans="2:18">
      <c r="B115" s="113">
        <v>102</v>
      </c>
      <c r="C115" s="114" t="s">
        <v>328</v>
      </c>
      <c r="D115" s="115" t="s">
        <v>517</v>
      </c>
      <c r="E115" s="114" t="s">
        <v>315</v>
      </c>
      <c r="F115" s="114" t="s">
        <v>812</v>
      </c>
      <c r="G115" s="116">
        <v>19780310</v>
      </c>
      <c r="H115" s="114" t="s">
        <v>424</v>
      </c>
      <c r="I115" s="114" t="s">
        <v>368</v>
      </c>
      <c r="J115" s="114" t="s">
        <v>813</v>
      </c>
      <c r="K115" s="114" t="s">
        <v>576</v>
      </c>
      <c r="L115" s="114" t="s">
        <v>814</v>
      </c>
      <c r="M115" s="114" t="s">
        <v>815</v>
      </c>
      <c r="N115" s="114">
        <v>3</v>
      </c>
      <c r="O115" s="117" t="s">
        <v>312</v>
      </c>
      <c r="P115" s="114" t="s">
        <v>816</v>
      </c>
      <c r="Q115" s="118">
        <v>8</v>
      </c>
      <c r="R115" s="43" t="s">
        <v>314</v>
      </c>
    </row>
    <row r="116" spans="2:18">
      <c r="B116" s="113">
        <v>103</v>
      </c>
      <c r="C116" s="114" t="s">
        <v>302</v>
      </c>
      <c r="D116" s="115" t="s">
        <v>517</v>
      </c>
      <c r="E116" s="114" t="s">
        <v>304</v>
      </c>
      <c r="F116" s="114" t="s">
        <v>817</v>
      </c>
      <c r="G116" s="116">
        <v>19840925</v>
      </c>
      <c r="H116" s="114" t="s">
        <v>519</v>
      </c>
      <c r="I116" s="114" t="s">
        <v>307</v>
      </c>
      <c r="J116" s="114" t="s">
        <v>818</v>
      </c>
      <c r="K116" s="114" t="s">
        <v>319</v>
      </c>
      <c r="L116" s="114" t="s">
        <v>819</v>
      </c>
      <c r="M116" s="119" t="s">
        <v>820</v>
      </c>
      <c r="N116" s="114">
        <v>16</v>
      </c>
      <c r="O116" s="117" t="s">
        <v>312</v>
      </c>
      <c r="P116" s="114" t="s">
        <v>821</v>
      </c>
      <c r="Q116" s="118">
        <v>8</v>
      </c>
      <c r="R116" s="43" t="s">
        <v>314</v>
      </c>
    </row>
    <row r="117" spans="2:18">
      <c r="B117" s="113">
        <v>104</v>
      </c>
      <c r="C117" s="114" t="s">
        <v>302</v>
      </c>
      <c r="D117" s="115" t="s">
        <v>517</v>
      </c>
      <c r="E117" s="114" t="s">
        <v>315</v>
      </c>
      <c r="F117" s="114" t="s">
        <v>822</v>
      </c>
      <c r="G117" s="116">
        <v>19810828</v>
      </c>
      <c r="H117" s="114" t="s">
        <v>424</v>
      </c>
      <c r="I117" s="114" t="s">
        <v>368</v>
      </c>
      <c r="J117" s="114" t="s">
        <v>667</v>
      </c>
      <c r="K117" s="114" t="s">
        <v>576</v>
      </c>
      <c r="L117" s="114" t="s">
        <v>537</v>
      </c>
      <c r="M117" s="114" t="s">
        <v>823</v>
      </c>
      <c r="N117" s="114">
        <v>4</v>
      </c>
      <c r="O117" s="117" t="s">
        <v>312</v>
      </c>
      <c r="P117" s="114" t="s">
        <v>824</v>
      </c>
      <c r="Q117" s="118">
        <v>8</v>
      </c>
      <c r="R117" s="43" t="s">
        <v>314</v>
      </c>
    </row>
    <row r="118" spans="2:18">
      <c r="B118" s="113">
        <v>105</v>
      </c>
      <c r="C118" s="114" t="s">
        <v>328</v>
      </c>
      <c r="D118" s="115" t="s">
        <v>517</v>
      </c>
      <c r="E118" s="114" t="s">
        <v>825</v>
      </c>
      <c r="F118" s="114" t="s">
        <v>826</v>
      </c>
      <c r="G118" s="116">
        <v>19730429</v>
      </c>
      <c r="H118" s="114" t="s">
        <v>367</v>
      </c>
      <c r="I118" s="114" t="s">
        <v>368</v>
      </c>
      <c r="J118" s="120" t="s">
        <v>827</v>
      </c>
      <c r="K118" s="114" t="s">
        <v>319</v>
      </c>
      <c r="L118" s="120" t="s">
        <v>828</v>
      </c>
      <c r="M118" s="114" t="s">
        <v>829</v>
      </c>
      <c r="N118" s="114">
        <v>13</v>
      </c>
      <c r="O118" s="117" t="s">
        <v>312</v>
      </c>
      <c r="P118" s="114" t="s">
        <v>830</v>
      </c>
      <c r="Q118" s="118">
        <v>8</v>
      </c>
      <c r="R118" s="43" t="s">
        <v>314</v>
      </c>
    </row>
    <row r="119" spans="2:18">
      <c r="B119" s="113">
        <v>106</v>
      </c>
      <c r="C119" s="114" t="s">
        <v>302</v>
      </c>
      <c r="D119" s="115" t="s">
        <v>517</v>
      </c>
      <c r="E119" s="114" t="s">
        <v>304</v>
      </c>
      <c r="F119" s="114" t="s">
        <v>831</v>
      </c>
      <c r="G119" s="116">
        <v>19801023</v>
      </c>
      <c r="H119" s="114" t="s">
        <v>832</v>
      </c>
      <c r="I119" s="114" t="s">
        <v>307</v>
      </c>
      <c r="J119" s="114" t="s">
        <v>308</v>
      </c>
      <c r="K119" s="114" t="s">
        <v>309</v>
      </c>
      <c r="L119" s="114" t="s">
        <v>310</v>
      </c>
      <c r="M119" s="114" t="s">
        <v>833</v>
      </c>
      <c r="N119" s="114">
        <v>21</v>
      </c>
      <c r="O119" s="117" t="s">
        <v>312</v>
      </c>
      <c r="P119" s="114" t="s">
        <v>834</v>
      </c>
      <c r="Q119" s="118">
        <v>8</v>
      </c>
      <c r="R119" s="43" t="s">
        <v>314</v>
      </c>
    </row>
    <row r="120" spans="2:18">
      <c r="B120" s="113">
        <v>107</v>
      </c>
      <c r="C120" s="114" t="s">
        <v>328</v>
      </c>
      <c r="D120" s="115" t="s">
        <v>517</v>
      </c>
      <c r="E120" s="114" t="s">
        <v>304</v>
      </c>
      <c r="F120" s="114" t="s">
        <v>835</v>
      </c>
      <c r="G120" s="116">
        <v>19780322</v>
      </c>
      <c r="H120" s="114" t="s">
        <v>424</v>
      </c>
      <c r="I120" s="114" t="s">
        <v>368</v>
      </c>
      <c r="J120" s="114" t="s">
        <v>429</v>
      </c>
      <c r="K120" s="114" t="s">
        <v>319</v>
      </c>
      <c r="L120" s="114" t="s">
        <v>836</v>
      </c>
      <c r="M120" s="114" t="s">
        <v>837</v>
      </c>
      <c r="N120" s="114">
        <v>7</v>
      </c>
      <c r="O120" s="117" t="s">
        <v>312</v>
      </c>
      <c r="P120" s="114" t="s">
        <v>838</v>
      </c>
      <c r="Q120" s="118">
        <v>8</v>
      </c>
      <c r="R120" s="43" t="s">
        <v>314</v>
      </c>
    </row>
    <row r="121" spans="2:18">
      <c r="B121" s="113">
        <v>108</v>
      </c>
      <c r="C121" s="123" t="s">
        <v>11</v>
      </c>
      <c r="D121" s="115" t="s">
        <v>517</v>
      </c>
      <c r="E121" s="124" t="s">
        <v>315</v>
      </c>
      <c r="F121" s="124" t="s">
        <v>839</v>
      </c>
      <c r="G121" s="125">
        <v>19721130</v>
      </c>
      <c r="H121" s="124" t="s">
        <v>840</v>
      </c>
      <c r="I121" s="124" t="s">
        <v>307</v>
      </c>
      <c r="J121" s="124" t="s">
        <v>513</v>
      </c>
      <c r="K121" s="124" t="s">
        <v>319</v>
      </c>
      <c r="L121" s="124" t="s">
        <v>841</v>
      </c>
      <c r="M121" s="124" t="s">
        <v>321</v>
      </c>
      <c r="N121" s="124">
        <v>27</v>
      </c>
      <c r="O121" s="117" t="s">
        <v>312</v>
      </c>
      <c r="P121" s="124" t="s">
        <v>842</v>
      </c>
      <c r="Q121" s="118">
        <v>8</v>
      </c>
      <c r="R121" s="43" t="s">
        <v>314</v>
      </c>
    </row>
    <row r="122" spans="2:18">
      <c r="B122" s="113">
        <v>109</v>
      </c>
      <c r="C122" s="124" t="s">
        <v>302</v>
      </c>
      <c r="D122" s="115" t="s">
        <v>517</v>
      </c>
      <c r="E122" s="124" t="s">
        <v>304</v>
      </c>
      <c r="F122" s="124" t="s">
        <v>843</v>
      </c>
      <c r="G122" s="125">
        <v>19770121</v>
      </c>
      <c r="H122" s="114" t="s">
        <v>451</v>
      </c>
      <c r="I122" s="124" t="s">
        <v>307</v>
      </c>
      <c r="J122" s="114" t="s">
        <v>308</v>
      </c>
      <c r="K122" s="124" t="s">
        <v>309</v>
      </c>
      <c r="L122" s="114" t="s">
        <v>310</v>
      </c>
      <c r="M122" s="123" t="s">
        <v>844</v>
      </c>
      <c r="N122" s="124">
        <v>21</v>
      </c>
      <c r="O122" s="117" t="s">
        <v>312</v>
      </c>
      <c r="P122" s="123" t="s">
        <v>845</v>
      </c>
      <c r="Q122" s="118">
        <v>8</v>
      </c>
      <c r="R122" s="43" t="s">
        <v>314</v>
      </c>
    </row>
    <row r="123" spans="2:18">
      <c r="B123" s="113">
        <v>110</v>
      </c>
      <c r="C123" s="123" t="s">
        <v>302</v>
      </c>
      <c r="D123" s="115" t="s">
        <v>517</v>
      </c>
      <c r="E123" s="124" t="s">
        <v>315</v>
      </c>
      <c r="F123" s="124" t="s">
        <v>846</v>
      </c>
      <c r="G123" s="125">
        <v>19811227</v>
      </c>
      <c r="H123" s="124" t="s">
        <v>390</v>
      </c>
      <c r="I123" s="124" t="s">
        <v>847</v>
      </c>
      <c r="J123" s="124" t="s">
        <v>638</v>
      </c>
      <c r="K123" s="124" t="s">
        <v>319</v>
      </c>
      <c r="L123" s="124" t="s">
        <v>848</v>
      </c>
      <c r="M123" s="124" t="s">
        <v>849</v>
      </c>
      <c r="N123" s="124">
        <v>8</v>
      </c>
      <c r="O123" s="117" t="s">
        <v>312</v>
      </c>
      <c r="P123" s="124" t="s">
        <v>850</v>
      </c>
      <c r="Q123" s="118">
        <v>8</v>
      </c>
      <c r="R123" s="43" t="s">
        <v>314</v>
      </c>
    </row>
    <row r="124" spans="2:18">
      <c r="B124" s="113">
        <v>111</v>
      </c>
      <c r="C124" s="123" t="s">
        <v>302</v>
      </c>
      <c r="D124" s="122" t="s">
        <v>564</v>
      </c>
      <c r="E124" s="124" t="s">
        <v>315</v>
      </c>
      <c r="F124" s="124" t="s">
        <v>851</v>
      </c>
      <c r="G124" s="125">
        <v>19920603</v>
      </c>
      <c r="H124" s="124" t="s">
        <v>390</v>
      </c>
      <c r="I124" s="124" t="s">
        <v>852</v>
      </c>
      <c r="J124" s="124" t="s">
        <v>853</v>
      </c>
      <c r="K124" s="124" t="s">
        <v>319</v>
      </c>
      <c r="L124" s="124" t="s">
        <v>854</v>
      </c>
      <c r="M124" s="124" t="s">
        <v>855</v>
      </c>
      <c r="N124" s="124">
        <v>3</v>
      </c>
      <c r="O124" s="117" t="s">
        <v>312</v>
      </c>
      <c r="P124" s="124" t="s">
        <v>856</v>
      </c>
      <c r="Q124" s="118">
        <v>8</v>
      </c>
      <c r="R124" s="43" t="s">
        <v>314</v>
      </c>
    </row>
    <row r="125" spans="2:18">
      <c r="B125" s="113">
        <v>112</v>
      </c>
      <c r="C125" s="124" t="s">
        <v>10</v>
      </c>
      <c r="D125" s="122" t="s">
        <v>564</v>
      </c>
      <c r="E125" s="124" t="s">
        <v>74</v>
      </c>
      <c r="F125" s="124" t="s">
        <v>857</v>
      </c>
      <c r="G125" s="125">
        <v>19730228</v>
      </c>
      <c r="H125" s="114" t="s">
        <v>390</v>
      </c>
      <c r="I125" s="124" t="s">
        <v>858</v>
      </c>
      <c r="J125" s="114" t="s">
        <v>859</v>
      </c>
      <c r="K125" s="124" t="s">
        <v>67</v>
      </c>
      <c r="L125" s="114" t="s">
        <v>860</v>
      </c>
      <c r="M125" s="123" t="s">
        <v>861</v>
      </c>
      <c r="N125" s="124">
        <v>16</v>
      </c>
      <c r="O125" s="117" t="s">
        <v>312</v>
      </c>
      <c r="P125" s="123" t="s">
        <v>862</v>
      </c>
      <c r="Q125" s="118">
        <v>8</v>
      </c>
      <c r="R125" s="43" t="s">
        <v>314</v>
      </c>
    </row>
    <row r="126" spans="2:18">
      <c r="B126" s="113">
        <v>113</v>
      </c>
      <c r="C126" s="123" t="s">
        <v>10</v>
      </c>
      <c r="D126" s="122" t="s">
        <v>564</v>
      </c>
      <c r="E126" s="124" t="s">
        <v>74</v>
      </c>
      <c r="F126" s="124" t="s">
        <v>863</v>
      </c>
      <c r="G126" s="125">
        <v>19780405</v>
      </c>
      <c r="H126" s="124" t="s">
        <v>859</v>
      </c>
      <c r="I126" s="124" t="s">
        <v>858</v>
      </c>
      <c r="J126" s="124" t="s">
        <v>864</v>
      </c>
      <c r="K126" s="124" t="s">
        <v>67</v>
      </c>
      <c r="L126" s="124" t="s">
        <v>865</v>
      </c>
      <c r="M126" s="124" t="s">
        <v>866</v>
      </c>
      <c r="N126" s="124">
        <v>5</v>
      </c>
      <c r="O126" s="117" t="s">
        <v>312</v>
      </c>
      <c r="P126" s="124" t="s">
        <v>867</v>
      </c>
      <c r="Q126" s="118">
        <v>8</v>
      </c>
      <c r="R126" s="43" t="s">
        <v>314</v>
      </c>
    </row>
    <row r="127" spans="2:18">
      <c r="B127" s="113">
        <v>114</v>
      </c>
      <c r="C127" s="123" t="s">
        <v>10</v>
      </c>
      <c r="D127" s="122" t="s">
        <v>564</v>
      </c>
      <c r="E127" s="124" t="s">
        <v>74</v>
      </c>
      <c r="F127" s="124" t="s">
        <v>868</v>
      </c>
      <c r="G127" s="125">
        <v>19690131</v>
      </c>
      <c r="H127" s="124" t="s">
        <v>859</v>
      </c>
      <c r="I127" s="124" t="s">
        <v>858</v>
      </c>
      <c r="J127" s="124" t="s">
        <v>859</v>
      </c>
      <c r="K127" s="124" t="s">
        <v>67</v>
      </c>
      <c r="L127" s="124" t="s">
        <v>66</v>
      </c>
      <c r="M127" s="124" t="s">
        <v>869</v>
      </c>
      <c r="N127" s="124">
        <v>11</v>
      </c>
      <c r="O127" s="117" t="s">
        <v>312</v>
      </c>
      <c r="P127" s="124" t="s">
        <v>870</v>
      </c>
      <c r="Q127" s="118">
        <v>8</v>
      </c>
      <c r="R127" s="43" t="s">
        <v>314</v>
      </c>
    </row>
    <row r="128" spans="2:18">
      <c r="B128" s="113">
        <v>115</v>
      </c>
      <c r="C128" s="123" t="s">
        <v>302</v>
      </c>
      <c r="D128" s="122" t="s">
        <v>564</v>
      </c>
      <c r="E128" s="124" t="s">
        <v>304</v>
      </c>
      <c r="F128" s="124" t="s">
        <v>871</v>
      </c>
      <c r="G128" s="125">
        <v>19950404</v>
      </c>
      <c r="H128" s="124" t="s">
        <v>872</v>
      </c>
      <c r="I128" s="124" t="s">
        <v>873</v>
      </c>
      <c r="J128" s="124" t="s">
        <v>390</v>
      </c>
      <c r="K128" s="124" t="s">
        <v>319</v>
      </c>
      <c r="L128" s="124" t="s">
        <v>874</v>
      </c>
      <c r="M128" s="124" t="s">
        <v>875</v>
      </c>
      <c r="N128" s="124">
        <v>9</v>
      </c>
      <c r="O128" s="117" t="s">
        <v>312</v>
      </c>
      <c r="P128" s="124" t="s">
        <v>876</v>
      </c>
      <c r="Q128" s="118">
        <v>8</v>
      </c>
      <c r="R128" s="43" t="s">
        <v>314</v>
      </c>
    </row>
    <row r="129" spans="2:18">
      <c r="B129" s="113">
        <v>116</v>
      </c>
      <c r="C129" s="123" t="s">
        <v>302</v>
      </c>
      <c r="D129" s="122" t="s">
        <v>564</v>
      </c>
      <c r="E129" s="124" t="s">
        <v>304</v>
      </c>
      <c r="F129" s="124" t="s">
        <v>877</v>
      </c>
      <c r="G129" s="125">
        <v>19951027</v>
      </c>
      <c r="H129" s="124" t="s">
        <v>878</v>
      </c>
      <c r="I129" s="124" t="s">
        <v>879</v>
      </c>
      <c r="J129" s="124" t="s">
        <v>390</v>
      </c>
      <c r="K129" s="124" t="s">
        <v>319</v>
      </c>
      <c r="L129" s="124" t="s">
        <v>880</v>
      </c>
      <c r="M129" s="124" t="s">
        <v>881</v>
      </c>
      <c r="N129" s="124">
        <v>9</v>
      </c>
      <c r="O129" s="117" t="s">
        <v>312</v>
      </c>
      <c r="P129" s="124" t="s">
        <v>882</v>
      </c>
      <c r="Q129" s="118">
        <v>8</v>
      </c>
      <c r="R129" s="43" t="s">
        <v>314</v>
      </c>
    </row>
    <row r="130" spans="2:18">
      <c r="B130" s="113">
        <v>117</v>
      </c>
      <c r="C130" s="124" t="s">
        <v>302</v>
      </c>
      <c r="D130" s="122" t="s">
        <v>564</v>
      </c>
      <c r="E130" s="124" t="s">
        <v>304</v>
      </c>
      <c r="F130" s="124" t="s">
        <v>883</v>
      </c>
      <c r="G130" s="125">
        <v>19950315</v>
      </c>
      <c r="H130" s="114" t="s">
        <v>878</v>
      </c>
      <c r="I130" s="124" t="s">
        <v>884</v>
      </c>
      <c r="J130" s="114" t="s">
        <v>390</v>
      </c>
      <c r="K130" s="124" t="s">
        <v>319</v>
      </c>
      <c r="L130" s="114" t="s">
        <v>874</v>
      </c>
      <c r="M130" s="123" t="s">
        <v>881</v>
      </c>
      <c r="N130" s="124">
        <v>9</v>
      </c>
      <c r="O130" s="117" t="s">
        <v>312</v>
      </c>
      <c r="P130" s="123" t="s">
        <v>885</v>
      </c>
      <c r="Q130" s="118">
        <v>8</v>
      </c>
      <c r="R130" s="43" t="s">
        <v>314</v>
      </c>
    </row>
    <row r="131" spans="2:18">
      <c r="B131" s="113">
        <v>118</v>
      </c>
      <c r="C131" s="123" t="s">
        <v>302</v>
      </c>
      <c r="D131" s="122" t="s">
        <v>564</v>
      </c>
      <c r="E131" s="124" t="s">
        <v>304</v>
      </c>
      <c r="F131" s="124" t="s">
        <v>886</v>
      </c>
      <c r="G131" s="125">
        <v>19951224</v>
      </c>
      <c r="H131" s="124" t="s">
        <v>878</v>
      </c>
      <c r="I131" s="124" t="s">
        <v>887</v>
      </c>
      <c r="J131" s="124" t="s">
        <v>390</v>
      </c>
      <c r="K131" s="124" t="s">
        <v>319</v>
      </c>
      <c r="L131" s="124" t="s">
        <v>880</v>
      </c>
      <c r="M131" s="124" t="s">
        <v>888</v>
      </c>
      <c r="N131" s="124">
        <v>7</v>
      </c>
      <c r="O131" s="117" t="s">
        <v>312</v>
      </c>
      <c r="P131" s="124" t="s">
        <v>889</v>
      </c>
      <c r="Q131" s="118">
        <v>8</v>
      </c>
      <c r="R131" s="43" t="s">
        <v>314</v>
      </c>
    </row>
    <row r="132" spans="2:18">
      <c r="B132" s="113">
        <v>119</v>
      </c>
      <c r="C132" s="126" t="s">
        <v>302</v>
      </c>
      <c r="D132" s="122" t="s">
        <v>564</v>
      </c>
      <c r="E132" s="126" t="s">
        <v>304</v>
      </c>
      <c r="F132" s="127" t="s">
        <v>890</v>
      </c>
      <c r="G132" s="128">
        <v>19970112</v>
      </c>
      <c r="H132" s="127" t="s">
        <v>891</v>
      </c>
      <c r="I132" s="127" t="s">
        <v>307</v>
      </c>
      <c r="J132" s="127" t="s">
        <v>321</v>
      </c>
      <c r="K132" s="127" t="s">
        <v>309</v>
      </c>
      <c r="L132" s="127" t="s">
        <v>892</v>
      </c>
      <c r="M132" s="127" t="s">
        <v>893</v>
      </c>
      <c r="N132" s="127">
        <v>6</v>
      </c>
      <c r="O132" s="127" t="s">
        <v>894</v>
      </c>
      <c r="P132" s="127" t="s">
        <v>895</v>
      </c>
      <c r="Q132" s="118">
        <v>8</v>
      </c>
      <c r="R132" s="43" t="s">
        <v>314</v>
      </c>
    </row>
    <row r="133" spans="2:18">
      <c r="B133" s="113">
        <v>120</v>
      </c>
      <c r="C133" s="124" t="s">
        <v>302</v>
      </c>
      <c r="D133" s="122" t="s">
        <v>564</v>
      </c>
      <c r="E133" s="126" t="s">
        <v>304</v>
      </c>
      <c r="F133" s="127" t="s">
        <v>896</v>
      </c>
      <c r="G133" s="128">
        <v>19780523</v>
      </c>
      <c r="H133" s="127" t="s">
        <v>897</v>
      </c>
      <c r="I133" s="127" t="s">
        <v>307</v>
      </c>
      <c r="J133" s="127" t="s">
        <v>321</v>
      </c>
      <c r="K133" s="127" t="s">
        <v>309</v>
      </c>
      <c r="L133" s="127" t="s">
        <v>898</v>
      </c>
      <c r="M133" s="127" t="s">
        <v>899</v>
      </c>
      <c r="N133" s="127">
        <v>5</v>
      </c>
      <c r="O133" s="127" t="s">
        <v>900</v>
      </c>
      <c r="P133" s="127" t="s">
        <v>901</v>
      </c>
      <c r="Q133" s="118">
        <v>8</v>
      </c>
      <c r="R133" s="43" t="s">
        <v>314</v>
      </c>
    </row>
    <row r="134" spans="2:18">
      <c r="B134" s="113">
        <v>121</v>
      </c>
      <c r="C134" s="126" t="s">
        <v>328</v>
      </c>
      <c r="D134" s="115" t="s">
        <v>303</v>
      </c>
      <c r="E134" s="126" t="s">
        <v>315</v>
      </c>
      <c r="F134" s="126" t="s">
        <v>902</v>
      </c>
      <c r="G134" s="129">
        <v>19800515</v>
      </c>
      <c r="H134" s="126" t="s">
        <v>903</v>
      </c>
      <c r="I134" s="127" t="s">
        <v>307</v>
      </c>
      <c r="J134" s="127" t="s">
        <v>321</v>
      </c>
      <c r="K134" s="126" t="s">
        <v>67</v>
      </c>
      <c r="L134" s="126" t="s">
        <v>904</v>
      </c>
      <c r="M134" s="126" t="s">
        <v>321</v>
      </c>
      <c r="N134" s="126">
        <v>22</v>
      </c>
      <c r="O134" s="126" t="s">
        <v>894</v>
      </c>
      <c r="P134" s="126" t="s">
        <v>905</v>
      </c>
      <c r="Q134" s="118">
        <v>8</v>
      </c>
      <c r="R134" s="43" t="s">
        <v>314</v>
      </c>
    </row>
    <row r="135" spans="2:18">
      <c r="B135" s="113">
        <v>122</v>
      </c>
      <c r="C135" s="126" t="s">
        <v>328</v>
      </c>
      <c r="D135" s="115" t="s">
        <v>303</v>
      </c>
      <c r="E135" s="126" t="s">
        <v>315</v>
      </c>
      <c r="F135" s="127" t="s">
        <v>444</v>
      </c>
      <c r="G135" s="128">
        <v>19750925</v>
      </c>
      <c r="H135" s="127" t="s">
        <v>906</v>
      </c>
      <c r="I135" s="127" t="s">
        <v>307</v>
      </c>
      <c r="J135" s="127" t="s">
        <v>321</v>
      </c>
      <c r="K135" s="127" t="s">
        <v>319</v>
      </c>
      <c r="L135" s="127" t="s">
        <v>611</v>
      </c>
      <c r="M135" s="127" t="s">
        <v>907</v>
      </c>
      <c r="N135" s="127">
        <v>22</v>
      </c>
      <c r="O135" s="127" t="s">
        <v>894</v>
      </c>
      <c r="P135" s="127" t="s">
        <v>908</v>
      </c>
      <c r="Q135" s="118">
        <v>8</v>
      </c>
      <c r="R135" s="43" t="s">
        <v>314</v>
      </c>
    </row>
    <row r="136" spans="2:18">
      <c r="B136" s="113">
        <v>123</v>
      </c>
      <c r="C136" s="124" t="s">
        <v>328</v>
      </c>
      <c r="D136" s="115" t="s">
        <v>303</v>
      </c>
      <c r="E136" s="126" t="s">
        <v>315</v>
      </c>
      <c r="F136" s="127" t="s">
        <v>909</v>
      </c>
      <c r="G136" s="128">
        <v>19830731</v>
      </c>
      <c r="H136" s="127" t="s">
        <v>910</v>
      </c>
      <c r="I136" s="127" t="s">
        <v>307</v>
      </c>
      <c r="J136" s="127" t="s">
        <v>321</v>
      </c>
      <c r="K136" s="127" t="s">
        <v>319</v>
      </c>
      <c r="L136" s="127" t="s">
        <v>911</v>
      </c>
      <c r="M136" s="127" t="s">
        <v>912</v>
      </c>
      <c r="N136" s="127">
        <v>16</v>
      </c>
      <c r="O136" s="127" t="s">
        <v>900</v>
      </c>
      <c r="P136" s="127" t="s">
        <v>321</v>
      </c>
      <c r="Q136" s="118">
        <v>8</v>
      </c>
      <c r="R136" s="43" t="s">
        <v>314</v>
      </c>
    </row>
    <row r="137" spans="2:18">
      <c r="B137" s="113">
        <v>124</v>
      </c>
      <c r="C137" s="126" t="s">
        <v>328</v>
      </c>
      <c r="D137" s="115" t="s">
        <v>303</v>
      </c>
      <c r="E137" s="126" t="s">
        <v>315</v>
      </c>
      <c r="F137" s="126" t="s">
        <v>913</v>
      </c>
      <c r="G137" s="130">
        <v>19760827</v>
      </c>
      <c r="H137" s="126" t="s">
        <v>914</v>
      </c>
      <c r="I137" s="127" t="s">
        <v>307</v>
      </c>
      <c r="J137" s="127" t="s">
        <v>321</v>
      </c>
      <c r="K137" s="126" t="s">
        <v>915</v>
      </c>
      <c r="L137" s="126" t="s">
        <v>904</v>
      </c>
      <c r="M137" s="126" t="s">
        <v>916</v>
      </c>
      <c r="N137" s="126">
        <v>25</v>
      </c>
      <c r="O137" s="126" t="s">
        <v>894</v>
      </c>
      <c r="P137" s="126" t="s">
        <v>917</v>
      </c>
      <c r="Q137" s="118">
        <v>8</v>
      </c>
      <c r="R137" s="43" t="s">
        <v>314</v>
      </c>
    </row>
    <row r="138" spans="2:18">
      <c r="B138" s="113">
        <v>125</v>
      </c>
      <c r="C138" s="124" t="s">
        <v>302</v>
      </c>
      <c r="D138" s="115" t="s">
        <v>303</v>
      </c>
      <c r="E138" s="126" t="s">
        <v>315</v>
      </c>
      <c r="F138" s="127" t="s">
        <v>918</v>
      </c>
      <c r="G138" s="128">
        <v>19790930</v>
      </c>
      <c r="H138" s="127" t="s">
        <v>919</v>
      </c>
      <c r="I138" s="127" t="s">
        <v>307</v>
      </c>
      <c r="J138" s="127" t="s">
        <v>321</v>
      </c>
      <c r="K138" s="127" t="s">
        <v>309</v>
      </c>
      <c r="L138" s="127" t="s">
        <v>385</v>
      </c>
      <c r="M138" s="127" t="s">
        <v>920</v>
      </c>
      <c r="N138" s="127">
        <v>23</v>
      </c>
      <c r="O138" s="127" t="s">
        <v>900</v>
      </c>
      <c r="P138" s="127" t="s">
        <v>321</v>
      </c>
      <c r="Q138" s="118">
        <v>8</v>
      </c>
      <c r="R138" s="43" t="s">
        <v>314</v>
      </c>
    </row>
    <row r="139" spans="2:18">
      <c r="B139" s="113">
        <v>126</v>
      </c>
      <c r="C139" s="124" t="s">
        <v>302</v>
      </c>
      <c r="D139" s="115" t="s">
        <v>303</v>
      </c>
      <c r="E139" s="126" t="s">
        <v>315</v>
      </c>
      <c r="F139" s="127" t="s">
        <v>921</v>
      </c>
      <c r="G139" s="128" t="s">
        <v>922</v>
      </c>
      <c r="H139" s="127" t="s">
        <v>923</v>
      </c>
      <c r="I139" s="127" t="s">
        <v>307</v>
      </c>
      <c r="J139" s="127" t="s">
        <v>321</v>
      </c>
      <c r="K139" s="127" t="s">
        <v>309</v>
      </c>
      <c r="L139" s="127" t="s">
        <v>924</v>
      </c>
      <c r="M139" s="127" t="s">
        <v>925</v>
      </c>
      <c r="N139" s="127">
        <v>20</v>
      </c>
      <c r="O139" s="127" t="s">
        <v>900</v>
      </c>
      <c r="P139" s="127" t="s">
        <v>926</v>
      </c>
      <c r="Q139" s="118">
        <v>8</v>
      </c>
      <c r="R139" s="43" t="s">
        <v>314</v>
      </c>
    </row>
    <row r="140" spans="2:18">
      <c r="B140" s="113">
        <v>127</v>
      </c>
      <c r="C140" s="126" t="s">
        <v>328</v>
      </c>
      <c r="D140" s="115" t="s">
        <v>303</v>
      </c>
      <c r="E140" s="126" t="s">
        <v>315</v>
      </c>
      <c r="F140" s="127" t="s">
        <v>927</v>
      </c>
      <c r="G140" s="128">
        <v>19770117</v>
      </c>
      <c r="H140" s="127" t="s">
        <v>928</v>
      </c>
      <c r="I140" s="127" t="s">
        <v>307</v>
      </c>
      <c r="J140" s="127" t="s">
        <v>321</v>
      </c>
      <c r="K140" s="127" t="s">
        <v>309</v>
      </c>
      <c r="L140" s="127" t="s">
        <v>929</v>
      </c>
      <c r="M140" s="127" t="s">
        <v>930</v>
      </c>
      <c r="N140" s="127">
        <v>26</v>
      </c>
      <c r="O140" s="127" t="s">
        <v>894</v>
      </c>
      <c r="P140" s="127" t="s">
        <v>931</v>
      </c>
      <c r="Q140" s="118">
        <v>8</v>
      </c>
      <c r="R140" s="43" t="s">
        <v>314</v>
      </c>
    </row>
    <row r="141" spans="2:18">
      <c r="B141" s="113">
        <v>128</v>
      </c>
      <c r="C141" s="126" t="s">
        <v>328</v>
      </c>
      <c r="D141" s="115" t="s">
        <v>303</v>
      </c>
      <c r="E141" s="126" t="s">
        <v>315</v>
      </c>
      <c r="F141" s="126" t="s">
        <v>932</v>
      </c>
      <c r="G141" s="129" t="s">
        <v>933</v>
      </c>
      <c r="H141" s="126" t="s">
        <v>934</v>
      </c>
      <c r="I141" s="127" t="s">
        <v>307</v>
      </c>
      <c r="J141" s="127" t="s">
        <v>321</v>
      </c>
      <c r="K141" s="126" t="s">
        <v>65</v>
      </c>
      <c r="L141" s="126" t="s">
        <v>935</v>
      </c>
      <c r="M141" s="126" t="s">
        <v>936</v>
      </c>
      <c r="N141" s="126">
        <v>19</v>
      </c>
      <c r="O141" s="126" t="s">
        <v>894</v>
      </c>
      <c r="P141" s="126" t="s">
        <v>937</v>
      </c>
      <c r="Q141" s="118">
        <v>8</v>
      </c>
      <c r="R141" s="43" t="s">
        <v>314</v>
      </c>
    </row>
    <row r="142" spans="2:18">
      <c r="B142" s="113">
        <v>129</v>
      </c>
      <c r="C142" s="124" t="s">
        <v>302</v>
      </c>
      <c r="D142" s="115" t="s">
        <v>303</v>
      </c>
      <c r="E142" s="126" t="s">
        <v>315</v>
      </c>
      <c r="F142" s="127" t="s">
        <v>938</v>
      </c>
      <c r="G142" s="128" t="s">
        <v>939</v>
      </c>
      <c r="H142" s="127" t="s">
        <v>940</v>
      </c>
      <c r="I142" s="127" t="s">
        <v>307</v>
      </c>
      <c r="J142" s="127" t="s">
        <v>321</v>
      </c>
      <c r="K142" s="127" t="s">
        <v>309</v>
      </c>
      <c r="L142" s="127" t="s">
        <v>338</v>
      </c>
      <c r="M142" s="127" t="s">
        <v>941</v>
      </c>
      <c r="N142" s="127">
        <v>16</v>
      </c>
      <c r="O142" s="127" t="s">
        <v>900</v>
      </c>
      <c r="P142" s="127" t="s">
        <v>942</v>
      </c>
      <c r="Q142" s="118">
        <v>8</v>
      </c>
      <c r="R142" s="43" t="s">
        <v>314</v>
      </c>
    </row>
    <row r="143" spans="2:18">
      <c r="B143" s="113">
        <v>130</v>
      </c>
      <c r="C143" s="124" t="s">
        <v>302</v>
      </c>
      <c r="D143" s="115" t="s">
        <v>303</v>
      </c>
      <c r="E143" s="126" t="s">
        <v>315</v>
      </c>
      <c r="F143" s="127" t="s">
        <v>943</v>
      </c>
      <c r="G143" s="128" t="s">
        <v>944</v>
      </c>
      <c r="H143" s="127" t="s">
        <v>945</v>
      </c>
      <c r="I143" s="127" t="s">
        <v>307</v>
      </c>
      <c r="J143" s="127" t="s">
        <v>321</v>
      </c>
      <c r="K143" s="127" t="s">
        <v>319</v>
      </c>
      <c r="L143" s="127" t="s">
        <v>946</v>
      </c>
      <c r="M143" s="127" t="s">
        <v>947</v>
      </c>
      <c r="N143" s="127">
        <v>7</v>
      </c>
      <c r="O143" s="127" t="s">
        <v>900</v>
      </c>
      <c r="P143" s="127" t="s">
        <v>948</v>
      </c>
      <c r="Q143" s="118">
        <v>8</v>
      </c>
      <c r="R143" s="43" t="s">
        <v>314</v>
      </c>
    </row>
    <row r="144" spans="2:18">
      <c r="B144" s="113">
        <v>131</v>
      </c>
      <c r="C144" s="126" t="s">
        <v>302</v>
      </c>
      <c r="D144" s="115" t="s">
        <v>363</v>
      </c>
      <c r="E144" s="126" t="s">
        <v>304</v>
      </c>
      <c r="F144" s="127" t="s">
        <v>949</v>
      </c>
      <c r="G144" s="128">
        <v>19820211</v>
      </c>
      <c r="H144" s="127" t="s">
        <v>950</v>
      </c>
      <c r="I144" s="127" t="s">
        <v>307</v>
      </c>
      <c r="J144" s="127" t="s">
        <v>321</v>
      </c>
      <c r="K144" s="127" t="s">
        <v>309</v>
      </c>
      <c r="L144" s="127" t="s">
        <v>951</v>
      </c>
      <c r="M144" s="127" t="s">
        <v>952</v>
      </c>
      <c r="N144" s="127">
        <v>21</v>
      </c>
      <c r="O144" s="127" t="s">
        <v>894</v>
      </c>
      <c r="P144" s="127" t="s">
        <v>953</v>
      </c>
      <c r="Q144" s="118">
        <v>8</v>
      </c>
      <c r="R144" s="43" t="s">
        <v>314</v>
      </c>
    </row>
    <row r="145" spans="2:18">
      <c r="B145" s="113">
        <v>132</v>
      </c>
      <c r="C145" s="126" t="s">
        <v>302</v>
      </c>
      <c r="D145" s="115" t="s">
        <v>363</v>
      </c>
      <c r="E145" s="126" t="s">
        <v>315</v>
      </c>
      <c r="F145" s="127" t="s">
        <v>954</v>
      </c>
      <c r="G145" s="128">
        <v>19750507</v>
      </c>
      <c r="H145" s="127" t="s">
        <v>955</v>
      </c>
      <c r="I145" s="127" t="s">
        <v>307</v>
      </c>
      <c r="J145" s="127" t="s">
        <v>321</v>
      </c>
      <c r="K145" s="127" t="s">
        <v>309</v>
      </c>
      <c r="L145" s="127" t="s">
        <v>956</v>
      </c>
      <c r="M145" s="127" t="s">
        <v>957</v>
      </c>
      <c r="N145" s="127">
        <v>22</v>
      </c>
      <c r="O145" s="127" t="s">
        <v>894</v>
      </c>
      <c r="P145" s="127" t="s">
        <v>958</v>
      </c>
      <c r="Q145" s="118">
        <v>8</v>
      </c>
      <c r="R145" s="43" t="s">
        <v>314</v>
      </c>
    </row>
    <row r="146" spans="2:18">
      <c r="B146" s="113">
        <v>133</v>
      </c>
      <c r="C146" s="126" t="s">
        <v>328</v>
      </c>
      <c r="D146" s="115" t="s">
        <v>363</v>
      </c>
      <c r="E146" s="126" t="s">
        <v>315</v>
      </c>
      <c r="F146" s="127" t="s">
        <v>959</v>
      </c>
      <c r="G146" s="128">
        <v>19780212</v>
      </c>
      <c r="H146" s="127" t="s">
        <v>960</v>
      </c>
      <c r="I146" s="127" t="s">
        <v>307</v>
      </c>
      <c r="J146" s="127" t="s">
        <v>321</v>
      </c>
      <c r="K146" s="127" t="s">
        <v>961</v>
      </c>
      <c r="L146" s="127" t="s">
        <v>759</v>
      </c>
      <c r="M146" s="127" t="s">
        <v>962</v>
      </c>
      <c r="N146" s="127">
        <v>23</v>
      </c>
      <c r="O146" s="127" t="s">
        <v>894</v>
      </c>
      <c r="P146" s="127" t="s">
        <v>963</v>
      </c>
      <c r="Q146" s="118">
        <v>8</v>
      </c>
      <c r="R146" s="43" t="s">
        <v>314</v>
      </c>
    </row>
    <row r="147" spans="2:18">
      <c r="B147" s="113">
        <v>134</v>
      </c>
      <c r="C147" s="124" t="s">
        <v>328</v>
      </c>
      <c r="D147" s="115" t="s">
        <v>363</v>
      </c>
      <c r="E147" s="131" t="s">
        <v>315</v>
      </c>
      <c r="F147" s="131" t="s">
        <v>964</v>
      </c>
      <c r="G147" s="132">
        <v>19870516</v>
      </c>
      <c r="H147" s="131" t="s">
        <v>965</v>
      </c>
      <c r="I147" s="131" t="s">
        <v>307</v>
      </c>
      <c r="J147" s="127" t="s">
        <v>321</v>
      </c>
      <c r="K147" s="131" t="s">
        <v>319</v>
      </c>
      <c r="L147" s="131" t="s">
        <v>966</v>
      </c>
      <c r="M147" s="131" t="s">
        <v>967</v>
      </c>
      <c r="N147" s="131">
        <v>13</v>
      </c>
      <c r="O147" s="131" t="s">
        <v>900</v>
      </c>
      <c r="P147" s="133" t="s">
        <v>321</v>
      </c>
      <c r="Q147" s="118">
        <v>8</v>
      </c>
      <c r="R147" s="43" t="s">
        <v>314</v>
      </c>
    </row>
    <row r="148" spans="2:18">
      <c r="B148" s="113">
        <v>135</v>
      </c>
      <c r="C148" s="124" t="s">
        <v>328</v>
      </c>
      <c r="D148" s="115" t="s">
        <v>363</v>
      </c>
      <c r="E148" s="134" t="s">
        <v>315</v>
      </c>
      <c r="F148" s="134" t="s">
        <v>968</v>
      </c>
      <c r="G148" s="135" t="s">
        <v>969</v>
      </c>
      <c r="H148" s="134" t="s">
        <v>970</v>
      </c>
      <c r="I148" s="134" t="s">
        <v>307</v>
      </c>
      <c r="J148" s="127" t="s">
        <v>321</v>
      </c>
      <c r="K148" s="134" t="s">
        <v>319</v>
      </c>
      <c r="L148" s="134" t="s">
        <v>971</v>
      </c>
      <c r="M148" s="134" t="s">
        <v>972</v>
      </c>
      <c r="N148" s="131">
        <v>14</v>
      </c>
      <c r="O148" s="134" t="s">
        <v>900</v>
      </c>
      <c r="P148" s="136" t="s">
        <v>321</v>
      </c>
      <c r="Q148" s="118">
        <v>8</v>
      </c>
      <c r="R148" s="43" t="s">
        <v>314</v>
      </c>
    </row>
    <row r="149" spans="2:18">
      <c r="B149" s="113">
        <v>136</v>
      </c>
      <c r="C149" s="137" t="s">
        <v>328</v>
      </c>
      <c r="D149" s="115" t="s">
        <v>363</v>
      </c>
      <c r="E149" s="137" t="s">
        <v>315</v>
      </c>
      <c r="F149" s="137" t="s">
        <v>973</v>
      </c>
      <c r="G149" s="138">
        <v>19940204</v>
      </c>
      <c r="H149" s="137" t="s">
        <v>974</v>
      </c>
      <c r="I149" s="127" t="s">
        <v>307</v>
      </c>
      <c r="J149" s="127" t="s">
        <v>321</v>
      </c>
      <c r="K149" s="139" t="s">
        <v>65</v>
      </c>
      <c r="L149" s="137" t="s">
        <v>975</v>
      </c>
      <c r="M149" s="139" t="s">
        <v>976</v>
      </c>
      <c r="N149" s="131">
        <v>9</v>
      </c>
      <c r="O149" s="137" t="s">
        <v>894</v>
      </c>
      <c r="P149" s="139" t="s">
        <v>977</v>
      </c>
      <c r="Q149" s="118">
        <v>8</v>
      </c>
      <c r="R149" s="43" t="s">
        <v>314</v>
      </c>
    </row>
    <row r="150" spans="2:18">
      <c r="B150" s="113">
        <v>137</v>
      </c>
      <c r="C150" s="124" t="s">
        <v>302</v>
      </c>
      <c r="D150" s="115" t="s">
        <v>363</v>
      </c>
      <c r="E150" s="134" t="s">
        <v>315</v>
      </c>
      <c r="F150" s="134" t="s">
        <v>978</v>
      </c>
      <c r="G150" s="135" t="s">
        <v>979</v>
      </c>
      <c r="H150" s="134" t="s">
        <v>980</v>
      </c>
      <c r="I150" s="134" t="s">
        <v>307</v>
      </c>
      <c r="J150" s="127" t="s">
        <v>321</v>
      </c>
      <c r="K150" s="134" t="s">
        <v>309</v>
      </c>
      <c r="L150" s="134" t="s">
        <v>759</v>
      </c>
      <c r="M150" s="140" t="s">
        <v>981</v>
      </c>
      <c r="N150" s="131">
        <v>13</v>
      </c>
      <c r="O150" s="134" t="s">
        <v>900</v>
      </c>
      <c r="P150" s="140" t="s">
        <v>982</v>
      </c>
      <c r="Q150" s="118">
        <v>8</v>
      </c>
      <c r="R150" s="43" t="s">
        <v>314</v>
      </c>
    </row>
    <row r="151" spans="2:18">
      <c r="B151" s="113">
        <v>138</v>
      </c>
      <c r="C151" s="141" t="s">
        <v>328</v>
      </c>
      <c r="D151" s="115" t="s">
        <v>363</v>
      </c>
      <c r="E151" s="141" t="s">
        <v>315</v>
      </c>
      <c r="F151" s="141" t="s">
        <v>983</v>
      </c>
      <c r="G151" s="142" t="s">
        <v>984</v>
      </c>
      <c r="H151" s="141" t="s">
        <v>985</v>
      </c>
      <c r="I151" s="127" t="s">
        <v>307</v>
      </c>
      <c r="J151" s="127" t="s">
        <v>321</v>
      </c>
      <c r="K151" s="141" t="s">
        <v>319</v>
      </c>
      <c r="L151" s="141" t="s">
        <v>986</v>
      </c>
      <c r="M151" s="141" t="s">
        <v>987</v>
      </c>
      <c r="N151" s="141">
        <v>4</v>
      </c>
      <c r="O151" s="141" t="s">
        <v>988</v>
      </c>
      <c r="P151" s="141" t="s">
        <v>989</v>
      </c>
      <c r="Q151" s="118">
        <v>8</v>
      </c>
      <c r="R151" s="43" t="s">
        <v>314</v>
      </c>
    </row>
    <row r="152" spans="2:18">
      <c r="B152" s="113">
        <v>139</v>
      </c>
      <c r="C152" s="143" t="s">
        <v>328</v>
      </c>
      <c r="D152" s="115" t="s">
        <v>363</v>
      </c>
      <c r="E152" s="144" t="s">
        <v>315</v>
      </c>
      <c r="F152" s="144" t="s">
        <v>990</v>
      </c>
      <c r="G152" s="145">
        <v>19951216</v>
      </c>
      <c r="H152" s="144" t="s">
        <v>991</v>
      </c>
      <c r="I152" s="127" t="s">
        <v>307</v>
      </c>
      <c r="J152" s="127" t="s">
        <v>321</v>
      </c>
      <c r="K152" s="144" t="s">
        <v>319</v>
      </c>
      <c r="L152" s="144" t="s">
        <v>992</v>
      </c>
      <c r="M152" s="141" t="s">
        <v>993</v>
      </c>
      <c r="N152" s="144">
        <v>5</v>
      </c>
      <c r="O152" s="143" t="s">
        <v>894</v>
      </c>
      <c r="P152" s="141" t="s">
        <v>994</v>
      </c>
      <c r="Q152" s="118">
        <v>8</v>
      </c>
      <c r="R152" s="43" t="s">
        <v>314</v>
      </c>
    </row>
    <row r="153" spans="2:18">
      <c r="B153" s="113">
        <v>140</v>
      </c>
      <c r="C153" s="124" t="s">
        <v>328</v>
      </c>
      <c r="D153" s="115" t="s">
        <v>363</v>
      </c>
      <c r="E153" s="146" t="s">
        <v>315</v>
      </c>
      <c r="F153" s="146" t="s">
        <v>995</v>
      </c>
      <c r="G153" s="147">
        <v>19760731</v>
      </c>
      <c r="H153" s="146" t="s">
        <v>996</v>
      </c>
      <c r="I153" s="146" t="s">
        <v>307</v>
      </c>
      <c r="J153" s="127" t="s">
        <v>321</v>
      </c>
      <c r="K153" s="146" t="s">
        <v>309</v>
      </c>
      <c r="L153" s="146" t="s">
        <v>898</v>
      </c>
      <c r="M153" s="146" t="s">
        <v>997</v>
      </c>
      <c r="N153" s="146">
        <v>7</v>
      </c>
      <c r="O153" s="146" t="s">
        <v>900</v>
      </c>
      <c r="P153" s="148" t="s">
        <v>321</v>
      </c>
      <c r="Q153" s="118">
        <v>8</v>
      </c>
      <c r="R153" s="43" t="s">
        <v>314</v>
      </c>
    </row>
    <row r="154" spans="2:18">
      <c r="B154" s="113">
        <v>141</v>
      </c>
      <c r="C154" s="124" t="s">
        <v>328</v>
      </c>
      <c r="D154" s="115" t="s">
        <v>417</v>
      </c>
      <c r="E154" s="134" t="s">
        <v>315</v>
      </c>
      <c r="F154" s="134" t="s">
        <v>998</v>
      </c>
      <c r="G154" s="135" t="s">
        <v>999</v>
      </c>
      <c r="H154" s="134" t="s">
        <v>1000</v>
      </c>
      <c r="I154" s="127" t="s">
        <v>307</v>
      </c>
      <c r="J154" s="127" t="s">
        <v>321</v>
      </c>
      <c r="K154" s="134" t="s">
        <v>319</v>
      </c>
      <c r="L154" s="134" t="s">
        <v>397</v>
      </c>
      <c r="M154" s="134" t="s">
        <v>1001</v>
      </c>
      <c r="N154" s="134">
        <v>35</v>
      </c>
      <c r="O154" s="134" t="s">
        <v>900</v>
      </c>
      <c r="P154" s="134" t="s">
        <v>1002</v>
      </c>
      <c r="Q154" s="118">
        <v>8</v>
      </c>
      <c r="R154" s="43" t="s">
        <v>314</v>
      </c>
    </row>
    <row r="155" spans="2:18">
      <c r="B155" s="113">
        <v>142</v>
      </c>
      <c r="C155" s="124" t="s">
        <v>302</v>
      </c>
      <c r="D155" s="115" t="s">
        <v>417</v>
      </c>
      <c r="E155" s="134" t="s">
        <v>315</v>
      </c>
      <c r="F155" s="134" t="s">
        <v>1003</v>
      </c>
      <c r="G155" s="135" t="s">
        <v>1004</v>
      </c>
      <c r="H155" s="134" t="s">
        <v>1005</v>
      </c>
      <c r="I155" s="134" t="s">
        <v>307</v>
      </c>
      <c r="J155" s="127" t="s">
        <v>321</v>
      </c>
      <c r="K155" s="134" t="s">
        <v>319</v>
      </c>
      <c r="L155" s="134" t="s">
        <v>1006</v>
      </c>
      <c r="M155" s="134" t="s">
        <v>1007</v>
      </c>
      <c r="N155" s="134">
        <v>7</v>
      </c>
      <c r="O155" s="134" t="s">
        <v>900</v>
      </c>
      <c r="P155" s="134" t="s">
        <v>1008</v>
      </c>
      <c r="Q155" s="118">
        <v>8</v>
      </c>
      <c r="R155" s="43" t="s">
        <v>314</v>
      </c>
    </row>
    <row r="156" spans="2:18">
      <c r="B156" s="113">
        <v>143</v>
      </c>
      <c r="C156" s="124" t="s">
        <v>328</v>
      </c>
      <c r="D156" s="115" t="s">
        <v>417</v>
      </c>
      <c r="E156" s="146" t="s">
        <v>315</v>
      </c>
      <c r="F156" s="146" t="s">
        <v>1009</v>
      </c>
      <c r="G156" s="147">
        <v>19930817</v>
      </c>
      <c r="H156" s="146" t="s">
        <v>1010</v>
      </c>
      <c r="I156" s="146" t="s">
        <v>307</v>
      </c>
      <c r="J156" s="127" t="s">
        <v>321</v>
      </c>
      <c r="K156" s="146" t="s">
        <v>319</v>
      </c>
      <c r="L156" s="146" t="s">
        <v>1011</v>
      </c>
      <c r="M156" s="134" t="s">
        <v>1012</v>
      </c>
      <c r="N156" s="146">
        <v>4</v>
      </c>
      <c r="O156" s="146" t="s">
        <v>900</v>
      </c>
      <c r="P156" s="134" t="s">
        <v>1013</v>
      </c>
      <c r="Q156" s="118">
        <v>8</v>
      </c>
      <c r="R156" s="43" t="s">
        <v>314</v>
      </c>
    </row>
    <row r="157" spans="2:18">
      <c r="B157" s="113">
        <v>144</v>
      </c>
      <c r="C157" s="126" t="s">
        <v>328</v>
      </c>
      <c r="D157" s="115" t="s">
        <v>417</v>
      </c>
      <c r="E157" s="126" t="s">
        <v>315</v>
      </c>
      <c r="F157" s="126" t="s">
        <v>1014</v>
      </c>
      <c r="G157" s="129" t="s">
        <v>1015</v>
      </c>
      <c r="H157" s="126" t="s">
        <v>1016</v>
      </c>
      <c r="I157" s="127" t="s">
        <v>307</v>
      </c>
      <c r="J157" s="127" t="s">
        <v>321</v>
      </c>
      <c r="K157" s="126" t="s">
        <v>65</v>
      </c>
      <c r="L157" s="126" t="s">
        <v>1017</v>
      </c>
      <c r="M157" s="149" t="s">
        <v>321</v>
      </c>
      <c r="N157" s="126">
        <v>11</v>
      </c>
      <c r="O157" s="126" t="s">
        <v>894</v>
      </c>
      <c r="P157" s="126" t="s">
        <v>1018</v>
      </c>
      <c r="Q157" s="118">
        <v>8</v>
      </c>
      <c r="R157" s="43" t="s">
        <v>314</v>
      </c>
    </row>
    <row r="158" spans="2:18">
      <c r="B158" s="113">
        <v>145</v>
      </c>
      <c r="C158" s="124" t="s">
        <v>328</v>
      </c>
      <c r="D158" s="115" t="s">
        <v>417</v>
      </c>
      <c r="E158" s="146" t="s">
        <v>315</v>
      </c>
      <c r="F158" s="146" t="s">
        <v>1019</v>
      </c>
      <c r="G158" s="147">
        <v>19790321</v>
      </c>
      <c r="H158" s="146" t="s">
        <v>1020</v>
      </c>
      <c r="I158" s="146" t="s">
        <v>307</v>
      </c>
      <c r="J158" s="127" t="s">
        <v>321</v>
      </c>
      <c r="K158" s="146" t="s">
        <v>309</v>
      </c>
      <c r="L158" s="146" t="s">
        <v>385</v>
      </c>
      <c r="M158" s="150" t="s">
        <v>1021</v>
      </c>
      <c r="N158" s="150">
        <v>23</v>
      </c>
      <c r="O158" s="146" t="s">
        <v>900</v>
      </c>
      <c r="P158" s="151" t="s">
        <v>321</v>
      </c>
      <c r="Q158" s="118">
        <v>8</v>
      </c>
      <c r="R158" s="43" t="s">
        <v>314</v>
      </c>
    </row>
    <row r="159" spans="2:18">
      <c r="B159" s="113">
        <v>146</v>
      </c>
      <c r="C159" s="126" t="s">
        <v>328</v>
      </c>
      <c r="D159" s="115" t="s">
        <v>417</v>
      </c>
      <c r="E159" s="126" t="s">
        <v>315</v>
      </c>
      <c r="F159" s="126" t="s">
        <v>1022</v>
      </c>
      <c r="G159" s="129" t="s">
        <v>1023</v>
      </c>
      <c r="H159" s="126" t="s">
        <v>1024</v>
      </c>
      <c r="I159" s="127" t="s">
        <v>307</v>
      </c>
      <c r="J159" s="127" t="s">
        <v>321</v>
      </c>
      <c r="K159" s="126" t="s">
        <v>915</v>
      </c>
      <c r="L159" s="126" t="s">
        <v>1025</v>
      </c>
      <c r="M159" s="149" t="s">
        <v>321</v>
      </c>
      <c r="N159" s="126">
        <v>8</v>
      </c>
      <c r="O159" s="126" t="s">
        <v>894</v>
      </c>
      <c r="P159" s="126" t="s">
        <v>1026</v>
      </c>
      <c r="Q159" s="118">
        <v>8</v>
      </c>
      <c r="R159" s="43" t="s">
        <v>314</v>
      </c>
    </row>
    <row r="160" spans="2:18">
      <c r="B160" s="113">
        <v>147</v>
      </c>
      <c r="C160" s="124" t="s">
        <v>328</v>
      </c>
      <c r="D160" s="115" t="s">
        <v>417</v>
      </c>
      <c r="E160" s="146" t="s">
        <v>315</v>
      </c>
      <c r="F160" s="146" t="s">
        <v>1027</v>
      </c>
      <c r="G160" s="147">
        <v>19831206</v>
      </c>
      <c r="H160" s="146" t="s">
        <v>1028</v>
      </c>
      <c r="I160" s="146" t="s">
        <v>307</v>
      </c>
      <c r="J160" s="127" t="s">
        <v>321</v>
      </c>
      <c r="K160" s="146" t="s">
        <v>319</v>
      </c>
      <c r="L160" s="146" t="s">
        <v>385</v>
      </c>
      <c r="M160" s="126" t="s">
        <v>1029</v>
      </c>
      <c r="N160" s="146">
        <v>17</v>
      </c>
      <c r="O160" s="146" t="s">
        <v>900</v>
      </c>
      <c r="P160" s="126" t="s">
        <v>1030</v>
      </c>
      <c r="Q160" s="118">
        <v>8</v>
      </c>
      <c r="R160" s="43" t="s">
        <v>314</v>
      </c>
    </row>
    <row r="161" spans="2:18">
      <c r="B161" s="113">
        <v>148</v>
      </c>
      <c r="C161" s="124" t="s">
        <v>328</v>
      </c>
      <c r="D161" s="115" t="s">
        <v>417</v>
      </c>
      <c r="E161" s="134" t="s">
        <v>315</v>
      </c>
      <c r="F161" s="146" t="s">
        <v>1031</v>
      </c>
      <c r="G161" s="147" t="s">
        <v>1032</v>
      </c>
      <c r="H161" s="146" t="s">
        <v>1033</v>
      </c>
      <c r="I161" s="146" t="s">
        <v>1034</v>
      </c>
      <c r="J161" s="127" t="s">
        <v>321</v>
      </c>
      <c r="K161" s="146" t="s">
        <v>1035</v>
      </c>
      <c r="L161" s="146" t="s">
        <v>1036</v>
      </c>
      <c r="M161" s="146" t="s">
        <v>1037</v>
      </c>
      <c r="N161" s="146">
        <v>5</v>
      </c>
      <c r="O161" s="146" t="s">
        <v>900</v>
      </c>
      <c r="P161" s="146" t="s">
        <v>1038</v>
      </c>
      <c r="Q161" s="118">
        <v>8</v>
      </c>
      <c r="R161" s="43" t="s">
        <v>314</v>
      </c>
    </row>
    <row r="162" spans="2:18">
      <c r="B162" s="113">
        <v>149</v>
      </c>
      <c r="C162" s="141" t="s">
        <v>302</v>
      </c>
      <c r="D162" s="115" t="s">
        <v>417</v>
      </c>
      <c r="E162" s="141" t="s">
        <v>315</v>
      </c>
      <c r="F162" s="146" t="s">
        <v>1039</v>
      </c>
      <c r="G162" s="147" t="s">
        <v>1040</v>
      </c>
      <c r="H162" s="146" t="s">
        <v>1041</v>
      </c>
      <c r="I162" s="127" t="s">
        <v>307</v>
      </c>
      <c r="J162" s="127" t="s">
        <v>321</v>
      </c>
      <c r="K162" s="146" t="s">
        <v>1035</v>
      </c>
      <c r="L162" s="146" t="s">
        <v>1042</v>
      </c>
      <c r="M162" s="146" t="s">
        <v>1043</v>
      </c>
      <c r="N162" s="146">
        <v>7</v>
      </c>
      <c r="O162" s="146" t="s">
        <v>988</v>
      </c>
      <c r="P162" s="146" t="s">
        <v>1044</v>
      </c>
      <c r="Q162" s="118">
        <v>8</v>
      </c>
      <c r="R162" s="43" t="s">
        <v>314</v>
      </c>
    </row>
    <row r="163" spans="2:18">
      <c r="B163" s="113">
        <v>150</v>
      </c>
      <c r="C163" s="141" t="s">
        <v>328</v>
      </c>
      <c r="D163" s="115" t="s">
        <v>417</v>
      </c>
      <c r="E163" s="141" t="s">
        <v>315</v>
      </c>
      <c r="F163" s="146" t="s">
        <v>1045</v>
      </c>
      <c r="G163" s="147" t="s">
        <v>1046</v>
      </c>
      <c r="H163" s="146" t="s">
        <v>1047</v>
      </c>
      <c r="I163" s="127" t="s">
        <v>307</v>
      </c>
      <c r="J163" s="127" t="s">
        <v>321</v>
      </c>
      <c r="K163" s="146" t="s">
        <v>1035</v>
      </c>
      <c r="L163" s="146" t="s">
        <v>1042</v>
      </c>
      <c r="M163" s="146" t="s">
        <v>1048</v>
      </c>
      <c r="N163" s="146">
        <v>12</v>
      </c>
      <c r="O163" s="146" t="s">
        <v>988</v>
      </c>
      <c r="P163" s="146" t="s">
        <v>989</v>
      </c>
      <c r="Q163" s="118">
        <v>8</v>
      </c>
      <c r="R163" s="43" t="s">
        <v>314</v>
      </c>
    </row>
    <row r="164" spans="2:18">
      <c r="B164" s="113">
        <v>151</v>
      </c>
      <c r="C164" s="124" t="s">
        <v>302</v>
      </c>
      <c r="D164" s="115" t="s">
        <v>467</v>
      </c>
      <c r="E164" s="146" t="s">
        <v>304</v>
      </c>
      <c r="F164" s="146" t="s">
        <v>1049</v>
      </c>
      <c r="G164" s="147">
        <v>19851125</v>
      </c>
      <c r="H164" s="146" t="s">
        <v>1050</v>
      </c>
      <c r="I164" s="146" t="s">
        <v>1034</v>
      </c>
      <c r="J164" s="127" t="s">
        <v>321</v>
      </c>
      <c r="K164" s="146" t="s">
        <v>1051</v>
      </c>
      <c r="L164" s="146" t="s">
        <v>1052</v>
      </c>
      <c r="M164" s="146" t="s">
        <v>1053</v>
      </c>
      <c r="N164" s="146">
        <v>17</v>
      </c>
      <c r="O164" s="146" t="s">
        <v>900</v>
      </c>
      <c r="P164" s="146" t="s">
        <v>1054</v>
      </c>
      <c r="Q164" s="118">
        <v>8</v>
      </c>
      <c r="R164" s="43" t="s">
        <v>314</v>
      </c>
    </row>
    <row r="165" spans="2:18">
      <c r="B165" s="113">
        <v>152</v>
      </c>
      <c r="C165" s="124" t="s">
        <v>328</v>
      </c>
      <c r="D165" s="115" t="s">
        <v>467</v>
      </c>
      <c r="E165" s="134" t="s">
        <v>304</v>
      </c>
      <c r="F165" s="146" t="s">
        <v>1055</v>
      </c>
      <c r="G165" s="147" t="s">
        <v>1056</v>
      </c>
      <c r="H165" s="146" t="s">
        <v>1057</v>
      </c>
      <c r="I165" s="146" t="s">
        <v>1034</v>
      </c>
      <c r="J165" s="127" t="s">
        <v>321</v>
      </c>
      <c r="K165" s="146" t="s">
        <v>1051</v>
      </c>
      <c r="L165" s="146" t="s">
        <v>1058</v>
      </c>
      <c r="M165" s="146" t="s">
        <v>1059</v>
      </c>
      <c r="N165" s="146">
        <v>5</v>
      </c>
      <c r="O165" s="146" t="s">
        <v>900</v>
      </c>
      <c r="P165" s="146" t="s">
        <v>1060</v>
      </c>
      <c r="Q165" s="118">
        <v>8</v>
      </c>
      <c r="R165" s="43" t="s">
        <v>314</v>
      </c>
    </row>
    <row r="166" spans="2:18">
      <c r="B166" s="113">
        <v>153</v>
      </c>
      <c r="C166" s="124" t="s">
        <v>328</v>
      </c>
      <c r="D166" s="115" t="s">
        <v>467</v>
      </c>
      <c r="E166" s="134" t="s">
        <v>315</v>
      </c>
      <c r="F166" s="134" t="s">
        <v>1061</v>
      </c>
      <c r="G166" s="135" t="s">
        <v>1062</v>
      </c>
      <c r="H166" s="134" t="s">
        <v>1063</v>
      </c>
      <c r="I166" s="127" t="s">
        <v>307</v>
      </c>
      <c r="J166" s="127" t="s">
        <v>321</v>
      </c>
      <c r="K166" s="134" t="s">
        <v>319</v>
      </c>
      <c r="L166" s="134" t="s">
        <v>759</v>
      </c>
      <c r="M166" s="134" t="s">
        <v>1064</v>
      </c>
      <c r="N166" s="146">
        <v>11</v>
      </c>
      <c r="O166" s="134" t="s">
        <v>900</v>
      </c>
      <c r="P166" s="134" t="s">
        <v>1065</v>
      </c>
      <c r="Q166" s="118">
        <v>8</v>
      </c>
      <c r="R166" s="43" t="s">
        <v>314</v>
      </c>
    </row>
    <row r="167" spans="2:18">
      <c r="B167" s="113">
        <v>154</v>
      </c>
      <c r="C167" s="134" t="s">
        <v>328</v>
      </c>
      <c r="D167" s="115" t="s">
        <v>467</v>
      </c>
      <c r="E167" s="134" t="s">
        <v>315</v>
      </c>
      <c r="F167" s="134" t="s">
        <v>1066</v>
      </c>
      <c r="G167" s="135" t="s">
        <v>1067</v>
      </c>
      <c r="H167" s="134" t="s">
        <v>1068</v>
      </c>
      <c r="I167" s="127" t="s">
        <v>307</v>
      </c>
      <c r="J167" s="127" t="s">
        <v>321</v>
      </c>
      <c r="K167" s="134" t="s">
        <v>309</v>
      </c>
      <c r="L167" s="134" t="s">
        <v>1069</v>
      </c>
      <c r="M167" s="134" t="s">
        <v>1070</v>
      </c>
      <c r="N167" s="146">
        <v>15</v>
      </c>
      <c r="O167" s="134" t="s">
        <v>988</v>
      </c>
      <c r="P167" s="136" t="s">
        <v>321</v>
      </c>
      <c r="Q167" s="118">
        <v>8</v>
      </c>
      <c r="R167" s="43" t="s">
        <v>314</v>
      </c>
    </row>
    <row r="168" spans="2:18">
      <c r="B168" s="113">
        <v>155</v>
      </c>
      <c r="C168" s="124" t="s">
        <v>328</v>
      </c>
      <c r="D168" s="115" t="s">
        <v>467</v>
      </c>
      <c r="E168" s="150" t="s">
        <v>315</v>
      </c>
      <c r="F168" s="150" t="s">
        <v>1071</v>
      </c>
      <c r="G168" s="152" t="s">
        <v>1072</v>
      </c>
      <c r="H168" s="150" t="s">
        <v>1073</v>
      </c>
      <c r="I168" s="134" t="s">
        <v>307</v>
      </c>
      <c r="J168" s="127" t="s">
        <v>321</v>
      </c>
      <c r="K168" s="150" t="s">
        <v>319</v>
      </c>
      <c r="L168" s="150" t="s">
        <v>1074</v>
      </c>
      <c r="M168" s="150" t="s">
        <v>1075</v>
      </c>
      <c r="N168" s="150">
        <v>12</v>
      </c>
      <c r="O168" s="150" t="s">
        <v>900</v>
      </c>
      <c r="P168" s="151" t="s">
        <v>321</v>
      </c>
      <c r="Q168" s="118">
        <v>8</v>
      </c>
      <c r="R168" s="43" t="s">
        <v>314</v>
      </c>
    </row>
    <row r="169" spans="2:18">
      <c r="B169" s="113">
        <v>156</v>
      </c>
      <c r="C169" s="153" t="s">
        <v>328</v>
      </c>
      <c r="D169" s="115" t="s">
        <v>467</v>
      </c>
      <c r="E169" s="153" t="s">
        <v>315</v>
      </c>
      <c r="F169" s="153" t="s">
        <v>1076</v>
      </c>
      <c r="G169" s="154" t="s">
        <v>1077</v>
      </c>
      <c r="H169" s="153" t="s">
        <v>1078</v>
      </c>
      <c r="I169" s="127" t="s">
        <v>307</v>
      </c>
      <c r="J169" s="127" t="s">
        <v>321</v>
      </c>
      <c r="K169" s="153" t="s">
        <v>319</v>
      </c>
      <c r="L169" s="153" t="s">
        <v>1079</v>
      </c>
      <c r="M169" s="153" t="s">
        <v>1080</v>
      </c>
      <c r="N169" s="153">
        <v>5</v>
      </c>
      <c r="O169" s="153" t="s">
        <v>894</v>
      </c>
      <c r="P169" s="153" t="s">
        <v>1081</v>
      </c>
      <c r="Q169" s="118">
        <v>8</v>
      </c>
      <c r="R169" s="43" t="s">
        <v>314</v>
      </c>
    </row>
    <row r="170" spans="2:18">
      <c r="B170" s="113">
        <v>157</v>
      </c>
      <c r="C170" s="134" t="s">
        <v>302</v>
      </c>
      <c r="D170" s="115" t="s">
        <v>467</v>
      </c>
      <c r="E170" s="134" t="s">
        <v>304</v>
      </c>
      <c r="F170" s="134" t="s">
        <v>1082</v>
      </c>
      <c r="G170" s="135" t="s">
        <v>1083</v>
      </c>
      <c r="H170" s="134" t="s">
        <v>1084</v>
      </c>
      <c r="I170" s="127" t="s">
        <v>307</v>
      </c>
      <c r="J170" s="127" t="s">
        <v>321</v>
      </c>
      <c r="K170" s="134" t="s">
        <v>309</v>
      </c>
      <c r="L170" s="134" t="s">
        <v>1085</v>
      </c>
      <c r="M170" s="134" t="s">
        <v>1086</v>
      </c>
      <c r="N170" s="134">
        <v>16</v>
      </c>
      <c r="O170" s="134" t="s">
        <v>988</v>
      </c>
      <c r="P170" s="136" t="s">
        <v>321</v>
      </c>
      <c r="Q170" s="118">
        <v>8</v>
      </c>
      <c r="R170" s="43" t="s">
        <v>314</v>
      </c>
    </row>
    <row r="171" spans="2:18">
      <c r="B171" s="113">
        <v>158</v>
      </c>
      <c r="C171" s="134" t="s">
        <v>302</v>
      </c>
      <c r="D171" s="115" t="s">
        <v>467</v>
      </c>
      <c r="E171" s="134" t="s">
        <v>315</v>
      </c>
      <c r="F171" s="134" t="s">
        <v>1087</v>
      </c>
      <c r="G171" s="135" t="s">
        <v>1088</v>
      </c>
      <c r="H171" s="134" t="s">
        <v>1089</v>
      </c>
      <c r="I171" s="127" t="s">
        <v>307</v>
      </c>
      <c r="J171" s="127" t="s">
        <v>321</v>
      </c>
      <c r="K171" s="134" t="s">
        <v>309</v>
      </c>
      <c r="L171" s="134" t="s">
        <v>911</v>
      </c>
      <c r="M171" s="134" t="s">
        <v>1090</v>
      </c>
      <c r="N171" s="134">
        <v>19</v>
      </c>
      <c r="O171" s="134" t="s">
        <v>988</v>
      </c>
      <c r="P171" s="136" t="s">
        <v>321</v>
      </c>
      <c r="Q171" s="118">
        <v>8</v>
      </c>
      <c r="R171" s="43" t="s">
        <v>314</v>
      </c>
    </row>
    <row r="172" spans="2:18">
      <c r="B172" s="113">
        <v>159</v>
      </c>
      <c r="C172" s="124" t="s">
        <v>302</v>
      </c>
      <c r="D172" s="115" t="s">
        <v>517</v>
      </c>
      <c r="E172" s="134" t="s">
        <v>304</v>
      </c>
      <c r="F172" s="134" t="s">
        <v>1091</v>
      </c>
      <c r="G172" s="135" t="s">
        <v>1092</v>
      </c>
      <c r="H172" s="134" t="s">
        <v>1093</v>
      </c>
      <c r="I172" s="134" t="s">
        <v>307</v>
      </c>
      <c r="J172" s="127" t="s">
        <v>321</v>
      </c>
      <c r="K172" s="134" t="s">
        <v>319</v>
      </c>
      <c r="L172" s="134" t="s">
        <v>447</v>
      </c>
      <c r="M172" s="134" t="s">
        <v>1094</v>
      </c>
      <c r="N172" s="134">
        <v>4</v>
      </c>
      <c r="O172" s="134" t="s">
        <v>900</v>
      </c>
      <c r="P172" s="136" t="s">
        <v>321</v>
      </c>
      <c r="Q172" s="118">
        <v>8</v>
      </c>
      <c r="R172" s="43" t="s">
        <v>314</v>
      </c>
    </row>
    <row r="173" spans="2:18">
      <c r="B173" s="113">
        <v>160</v>
      </c>
      <c r="C173" s="124" t="s">
        <v>302</v>
      </c>
      <c r="D173" s="115" t="s">
        <v>517</v>
      </c>
      <c r="E173" s="146" t="s">
        <v>304</v>
      </c>
      <c r="F173" s="146" t="s">
        <v>1095</v>
      </c>
      <c r="G173" s="147">
        <v>19810324</v>
      </c>
      <c r="H173" s="146" t="s">
        <v>1096</v>
      </c>
      <c r="I173" s="146" t="s">
        <v>307</v>
      </c>
      <c r="J173" s="127" t="s">
        <v>321</v>
      </c>
      <c r="K173" s="146" t="s">
        <v>319</v>
      </c>
      <c r="L173" s="146" t="s">
        <v>1097</v>
      </c>
      <c r="M173" s="140" t="s">
        <v>1098</v>
      </c>
      <c r="N173" s="146">
        <v>13</v>
      </c>
      <c r="O173" s="146" t="s">
        <v>900</v>
      </c>
      <c r="P173" s="140" t="s">
        <v>1099</v>
      </c>
      <c r="Q173" s="118">
        <v>8</v>
      </c>
      <c r="R173" s="43" t="s">
        <v>314</v>
      </c>
    </row>
    <row r="174" spans="2:18">
      <c r="B174" s="113">
        <v>161</v>
      </c>
      <c r="C174" s="124" t="s">
        <v>328</v>
      </c>
      <c r="D174" s="115" t="s">
        <v>517</v>
      </c>
      <c r="E174" s="146" t="s">
        <v>315</v>
      </c>
      <c r="F174" s="146" t="s">
        <v>1100</v>
      </c>
      <c r="G174" s="147">
        <v>19820827</v>
      </c>
      <c r="H174" s="146" t="s">
        <v>1101</v>
      </c>
      <c r="I174" s="146" t="s">
        <v>307</v>
      </c>
      <c r="J174" s="127" t="s">
        <v>321</v>
      </c>
      <c r="K174" s="146" t="s">
        <v>309</v>
      </c>
      <c r="L174" s="146" t="s">
        <v>1102</v>
      </c>
      <c r="M174" s="146" t="s">
        <v>1103</v>
      </c>
      <c r="N174" s="146">
        <v>20</v>
      </c>
      <c r="O174" s="146" t="s">
        <v>900</v>
      </c>
      <c r="P174" s="146" t="s">
        <v>1104</v>
      </c>
      <c r="Q174" s="118">
        <v>8</v>
      </c>
      <c r="R174" s="43" t="s">
        <v>314</v>
      </c>
    </row>
    <row r="175" spans="2:18">
      <c r="B175" s="113">
        <v>162</v>
      </c>
      <c r="C175" s="124" t="s">
        <v>328</v>
      </c>
      <c r="D175" s="115" t="s">
        <v>517</v>
      </c>
      <c r="E175" s="146" t="s">
        <v>315</v>
      </c>
      <c r="F175" s="146" t="s">
        <v>1105</v>
      </c>
      <c r="G175" s="147">
        <v>19900617</v>
      </c>
      <c r="H175" s="146" t="s">
        <v>1106</v>
      </c>
      <c r="I175" s="146" t="s">
        <v>307</v>
      </c>
      <c r="J175" s="127" t="s">
        <v>321</v>
      </c>
      <c r="K175" s="146" t="s">
        <v>319</v>
      </c>
      <c r="L175" s="146" t="s">
        <v>385</v>
      </c>
      <c r="M175" s="146" t="s">
        <v>1107</v>
      </c>
      <c r="N175" s="146">
        <v>11</v>
      </c>
      <c r="O175" s="146" t="s">
        <v>900</v>
      </c>
      <c r="P175" s="148" t="s">
        <v>321</v>
      </c>
      <c r="Q175" s="118">
        <v>8</v>
      </c>
      <c r="R175" s="43" t="s">
        <v>314</v>
      </c>
    </row>
    <row r="176" spans="2:18">
      <c r="B176" s="113">
        <v>163</v>
      </c>
      <c r="C176" s="124" t="s">
        <v>302</v>
      </c>
      <c r="D176" s="115" t="s">
        <v>517</v>
      </c>
      <c r="E176" s="146" t="s">
        <v>315</v>
      </c>
      <c r="F176" s="146" t="s">
        <v>1108</v>
      </c>
      <c r="G176" s="147">
        <v>19850511</v>
      </c>
      <c r="H176" s="146" t="s">
        <v>1109</v>
      </c>
      <c r="I176" s="146" t="s">
        <v>307</v>
      </c>
      <c r="J176" s="127" t="s">
        <v>321</v>
      </c>
      <c r="K176" s="146" t="s">
        <v>319</v>
      </c>
      <c r="L176" s="146" t="s">
        <v>385</v>
      </c>
      <c r="M176" s="140" t="s">
        <v>1110</v>
      </c>
      <c r="N176" s="146">
        <v>12</v>
      </c>
      <c r="O176" s="146" t="s">
        <v>900</v>
      </c>
      <c r="P176" s="140" t="s">
        <v>1111</v>
      </c>
      <c r="Q176" s="118">
        <v>8</v>
      </c>
      <c r="R176" s="43" t="s">
        <v>314</v>
      </c>
    </row>
    <row r="177" spans="2:18">
      <c r="B177" s="113">
        <v>164</v>
      </c>
      <c r="C177" s="124" t="s">
        <v>302</v>
      </c>
      <c r="D177" s="115" t="s">
        <v>517</v>
      </c>
      <c r="E177" s="150" t="s">
        <v>304</v>
      </c>
      <c r="F177" s="150" t="s">
        <v>1112</v>
      </c>
      <c r="G177" s="152" t="s">
        <v>1113</v>
      </c>
      <c r="H177" s="150" t="s">
        <v>1114</v>
      </c>
      <c r="I177" s="150" t="s">
        <v>307</v>
      </c>
      <c r="J177" s="127" t="s">
        <v>321</v>
      </c>
      <c r="K177" s="150" t="s">
        <v>319</v>
      </c>
      <c r="L177" s="150" t="s">
        <v>402</v>
      </c>
      <c r="M177" s="150" t="s">
        <v>1115</v>
      </c>
      <c r="N177" s="146">
        <v>3</v>
      </c>
      <c r="O177" s="150" t="s">
        <v>900</v>
      </c>
      <c r="P177" s="150" t="s">
        <v>1116</v>
      </c>
      <c r="Q177" s="118">
        <v>8</v>
      </c>
      <c r="R177" s="43" t="s">
        <v>314</v>
      </c>
    </row>
    <row r="178" spans="2:18">
      <c r="B178" s="113">
        <v>165</v>
      </c>
      <c r="C178" s="153" t="s">
        <v>328</v>
      </c>
      <c r="D178" s="115" t="s">
        <v>517</v>
      </c>
      <c r="E178" s="153" t="s">
        <v>315</v>
      </c>
      <c r="F178" s="153" t="s">
        <v>1117</v>
      </c>
      <c r="G178" s="154" t="s">
        <v>1118</v>
      </c>
      <c r="H178" s="153" t="s">
        <v>1119</v>
      </c>
      <c r="I178" s="127" t="s">
        <v>307</v>
      </c>
      <c r="J178" s="127" t="s">
        <v>321</v>
      </c>
      <c r="K178" s="153" t="s">
        <v>309</v>
      </c>
      <c r="L178" s="153" t="s">
        <v>759</v>
      </c>
      <c r="M178" s="153" t="s">
        <v>1120</v>
      </c>
      <c r="N178" s="146">
        <v>24</v>
      </c>
      <c r="O178" s="153" t="s">
        <v>894</v>
      </c>
      <c r="P178" s="153" t="s">
        <v>1121</v>
      </c>
      <c r="Q178" s="118">
        <v>8</v>
      </c>
      <c r="R178" s="43" t="s">
        <v>314</v>
      </c>
    </row>
    <row r="179" spans="2:18">
      <c r="B179" s="113">
        <v>166</v>
      </c>
      <c r="C179" s="124" t="s">
        <v>328</v>
      </c>
      <c r="D179" s="115" t="s">
        <v>517</v>
      </c>
      <c r="E179" s="146" t="s">
        <v>315</v>
      </c>
      <c r="F179" s="146" t="s">
        <v>1122</v>
      </c>
      <c r="G179" s="147">
        <v>19780125</v>
      </c>
      <c r="H179" s="146" t="s">
        <v>1123</v>
      </c>
      <c r="I179" s="146" t="s">
        <v>307</v>
      </c>
      <c r="J179" s="127" t="s">
        <v>321</v>
      </c>
      <c r="K179" s="146" t="s">
        <v>319</v>
      </c>
      <c r="L179" s="146" t="s">
        <v>1124</v>
      </c>
      <c r="M179" s="140" t="s">
        <v>1125</v>
      </c>
      <c r="N179" s="146">
        <v>24</v>
      </c>
      <c r="O179" s="146" t="s">
        <v>900</v>
      </c>
      <c r="P179" s="140" t="s">
        <v>1126</v>
      </c>
      <c r="Q179" s="118">
        <v>8</v>
      </c>
      <c r="R179" s="43" t="s">
        <v>314</v>
      </c>
    </row>
    <row r="180" spans="2:18">
      <c r="B180" s="113">
        <v>167</v>
      </c>
      <c r="C180" s="124" t="s">
        <v>302</v>
      </c>
      <c r="D180" s="115" t="s">
        <v>517</v>
      </c>
      <c r="E180" s="134" t="s">
        <v>304</v>
      </c>
      <c r="F180" s="134" t="s">
        <v>1127</v>
      </c>
      <c r="G180" s="135" t="s">
        <v>1128</v>
      </c>
      <c r="H180" s="134" t="s">
        <v>1129</v>
      </c>
      <c r="I180" s="134" t="s">
        <v>307</v>
      </c>
      <c r="J180" s="127" t="s">
        <v>321</v>
      </c>
      <c r="K180" s="134" t="s">
        <v>319</v>
      </c>
      <c r="L180" s="134" t="s">
        <v>447</v>
      </c>
      <c r="M180" s="134" t="s">
        <v>1130</v>
      </c>
      <c r="N180" s="146">
        <v>5</v>
      </c>
      <c r="O180" s="134" t="s">
        <v>900</v>
      </c>
      <c r="P180" s="134" t="s">
        <v>1131</v>
      </c>
      <c r="Q180" s="118">
        <v>8</v>
      </c>
      <c r="R180" s="43" t="s">
        <v>314</v>
      </c>
    </row>
    <row r="181" spans="2:18">
      <c r="B181" s="113">
        <v>168</v>
      </c>
      <c r="C181" s="141" t="s">
        <v>302</v>
      </c>
      <c r="D181" s="115" t="s">
        <v>517</v>
      </c>
      <c r="E181" s="141" t="s">
        <v>304</v>
      </c>
      <c r="F181" s="141" t="s">
        <v>1132</v>
      </c>
      <c r="G181" s="142" t="s">
        <v>1133</v>
      </c>
      <c r="H181" s="141" t="s">
        <v>1134</v>
      </c>
      <c r="I181" s="141" t="s">
        <v>307</v>
      </c>
      <c r="J181" s="127" t="s">
        <v>321</v>
      </c>
      <c r="K181" s="141" t="s">
        <v>309</v>
      </c>
      <c r="L181" s="141" t="s">
        <v>1085</v>
      </c>
      <c r="M181" s="141" t="s">
        <v>1135</v>
      </c>
      <c r="N181" s="146">
        <v>7</v>
      </c>
      <c r="O181" s="141" t="s">
        <v>988</v>
      </c>
      <c r="P181" s="155" t="s">
        <v>321</v>
      </c>
      <c r="Q181" s="118">
        <v>8</v>
      </c>
      <c r="R181" s="43" t="s">
        <v>314</v>
      </c>
    </row>
    <row r="182" spans="2:18">
      <c r="B182" s="113">
        <v>169</v>
      </c>
      <c r="C182" s="134" t="s">
        <v>328</v>
      </c>
      <c r="D182" s="122" t="s">
        <v>564</v>
      </c>
      <c r="E182" s="134" t="s">
        <v>315</v>
      </c>
      <c r="F182" s="134" t="s">
        <v>1136</v>
      </c>
      <c r="G182" s="135" t="s">
        <v>1137</v>
      </c>
      <c r="H182" s="134" t="s">
        <v>1068</v>
      </c>
      <c r="I182" s="134" t="s">
        <v>307</v>
      </c>
      <c r="J182" s="127" t="s">
        <v>321</v>
      </c>
      <c r="K182" s="134" t="s">
        <v>319</v>
      </c>
      <c r="L182" s="134" t="s">
        <v>1074</v>
      </c>
      <c r="M182" s="134" t="s">
        <v>1048</v>
      </c>
      <c r="N182" s="146">
        <v>6</v>
      </c>
      <c r="O182" s="134" t="s">
        <v>988</v>
      </c>
      <c r="P182" s="134" t="s">
        <v>1138</v>
      </c>
      <c r="Q182" s="118">
        <v>8</v>
      </c>
      <c r="R182" s="43" t="s">
        <v>314</v>
      </c>
    </row>
    <row r="183" spans="2:18">
      <c r="B183" s="113">
        <v>170</v>
      </c>
      <c r="C183" s="141" t="s">
        <v>302</v>
      </c>
      <c r="D183" s="122" t="s">
        <v>564</v>
      </c>
      <c r="E183" s="141" t="s">
        <v>304</v>
      </c>
      <c r="F183" s="141" t="s">
        <v>1139</v>
      </c>
      <c r="G183" s="142" t="s">
        <v>1140</v>
      </c>
      <c r="H183" s="141" t="s">
        <v>1141</v>
      </c>
      <c r="I183" s="141" t="s">
        <v>307</v>
      </c>
      <c r="J183" s="127" t="s">
        <v>321</v>
      </c>
      <c r="K183" s="141" t="s">
        <v>309</v>
      </c>
      <c r="L183" s="141" t="s">
        <v>490</v>
      </c>
      <c r="M183" s="141" t="s">
        <v>1142</v>
      </c>
      <c r="N183" s="146">
        <v>20</v>
      </c>
      <c r="O183" s="141" t="s">
        <v>988</v>
      </c>
      <c r="P183" s="141" t="s">
        <v>1143</v>
      </c>
      <c r="Q183" s="118">
        <v>8</v>
      </c>
      <c r="R183" s="43" t="s">
        <v>314</v>
      </c>
    </row>
    <row r="184" spans="2:18">
      <c r="B184" s="113">
        <v>171</v>
      </c>
      <c r="C184" s="124" t="s">
        <v>302</v>
      </c>
      <c r="D184" s="122" t="s">
        <v>564</v>
      </c>
      <c r="E184" s="134" t="s">
        <v>304</v>
      </c>
      <c r="F184" s="134" t="s">
        <v>1144</v>
      </c>
      <c r="G184" s="135" t="s">
        <v>1145</v>
      </c>
      <c r="H184" s="134" t="s">
        <v>1146</v>
      </c>
      <c r="I184" s="134" t="s">
        <v>307</v>
      </c>
      <c r="J184" s="127" t="s">
        <v>321</v>
      </c>
      <c r="K184" s="134" t="s">
        <v>319</v>
      </c>
      <c r="L184" s="134" t="s">
        <v>490</v>
      </c>
      <c r="M184" s="134" t="s">
        <v>1147</v>
      </c>
      <c r="N184" s="146">
        <v>5</v>
      </c>
      <c r="O184" s="134" t="s">
        <v>900</v>
      </c>
      <c r="P184" s="134" t="s">
        <v>1148</v>
      </c>
      <c r="Q184" s="118">
        <v>8</v>
      </c>
      <c r="R184" s="43" t="s">
        <v>314</v>
      </c>
    </row>
    <row r="185" spans="2:18">
      <c r="B185" s="113">
        <v>172</v>
      </c>
      <c r="C185" s="124" t="s">
        <v>328</v>
      </c>
      <c r="D185" s="122" t="s">
        <v>564</v>
      </c>
      <c r="E185" s="134" t="s">
        <v>315</v>
      </c>
      <c r="F185" s="134" t="s">
        <v>1149</v>
      </c>
      <c r="G185" s="135" t="s">
        <v>1150</v>
      </c>
      <c r="H185" s="134" t="s">
        <v>1151</v>
      </c>
      <c r="I185" s="134" t="s">
        <v>307</v>
      </c>
      <c r="J185" s="127" t="s">
        <v>321</v>
      </c>
      <c r="K185" s="134" t="s">
        <v>309</v>
      </c>
      <c r="L185" s="134" t="s">
        <v>397</v>
      </c>
      <c r="M185" s="134" t="s">
        <v>1152</v>
      </c>
      <c r="N185" s="146">
        <v>10</v>
      </c>
      <c r="O185" s="134" t="s">
        <v>900</v>
      </c>
      <c r="P185" s="136" t="s">
        <v>321</v>
      </c>
      <c r="Q185" s="118">
        <v>8</v>
      </c>
      <c r="R185" s="43" t="s">
        <v>314</v>
      </c>
    </row>
    <row r="186" spans="2:18">
      <c r="B186" s="113">
        <v>173</v>
      </c>
      <c r="C186" s="124" t="s">
        <v>328</v>
      </c>
      <c r="D186" s="122" t="s">
        <v>564</v>
      </c>
      <c r="E186" s="146" t="s">
        <v>315</v>
      </c>
      <c r="F186" s="146" t="s">
        <v>1153</v>
      </c>
      <c r="G186" s="147">
        <v>19810726</v>
      </c>
      <c r="H186" s="146" t="s">
        <v>1154</v>
      </c>
      <c r="I186" s="146" t="s">
        <v>307</v>
      </c>
      <c r="J186" s="127" t="s">
        <v>321</v>
      </c>
      <c r="K186" s="146" t="s">
        <v>309</v>
      </c>
      <c r="L186" s="146" t="s">
        <v>385</v>
      </c>
      <c r="M186" s="140" t="s">
        <v>1155</v>
      </c>
      <c r="N186" s="146">
        <v>21</v>
      </c>
      <c r="O186" s="146" t="s">
        <v>900</v>
      </c>
      <c r="P186" s="156" t="s">
        <v>321</v>
      </c>
      <c r="Q186" s="118">
        <v>8</v>
      </c>
      <c r="R186" s="43" t="s">
        <v>314</v>
      </c>
    </row>
    <row r="187" spans="2:18">
      <c r="B187" s="113">
        <v>174</v>
      </c>
      <c r="C187" s="126" t="s">
        <v>302</v>
      </c>
      <c r="D187" s="122" t="s">
        <v>564</v>
      </c>
      <c r="E187" s="126" t="s">
        <v>304</v>
      </c>
      <c r="F187" s="127" t="s">
        <v>1156</v>
      </c>
      <c r="G187" s="128" t="s">
        <v>1157</v>
      </c>
      <c r="H187" s="127" t="s">
        <v>1158</v>
      </c>
      <c r="I187" s="127" t="s">
        <v>307</v>
      </c>
      <c r="J187" s="127" t="s">
        <v>321</v>
      </c>
      <c r="K187" s="127" t="s">
        <v>319</v>
      </c>
      <c r="L187" s="127" t="s">
        <v>402</v>
      </c>
      <c r="M187" s="127" t="s">
        <v>1159</v>
      </c>
      <c r="N187" s="146">
        <v>20</v>
      </c>
      <c r="O187" s="127" t="s">
        <v>988</v>
      </c>
      <c r="P187" s="127" t="s">
        <v>1160</v>
      </c>
      <c r="Q187" s="118">
        <v>8</v>
      </c>
      <c r="R187" s="43" t="s">
        <v>314</v>
      </c>
    </row>
    <row r="188" spans="2:18">
      <c r="B188" s="113">
        <v>175</v>
      </c>
      <c r="C188" s="153" t="s">
        <v>328</v>
      </c>
      <c r="D188" s="122" t="s">
        <v>564</v>
      </c>
      <c r="E188" s="153" t="s">
        <v>315</v>
      </c>
      <c r="F188" s="153" t="s">
        <v>1161</v>
      </c>
      <c r="G188" s="154" t="s">
        <v>1162</v>
      </c>
      <c r="H188" s="153" t="s">
        <v>1163</v>
      </c>
      <c r="I188" s="127" t="s">
        <v>307</v>
      </c>
      <c r="J188" s="127" t="s">
        <v>321</v>
      </c>
      <c r="K188" s="153" t="s">
        <v>309</v>
      </c>
      <c r="L188" s="153" t="s">
        <v>1164</v>
      </c>
      <c r="M188" s="153" t="s">
        <v>1165</v>
      </c>
      <c r="N188" s="146">
        <v>16</v>
      </c>
      <c r="O188" s="153" t="s">
        <v>894</v>
      </c>
      <c r="P188" s="153" t="s">
        <v>1166</v>
      </c>
      <c r="Q188" s="118">
        <v>8</v>
      </c>
      <c r="R188" s="43" t="s">
        <v>314</v>
      </c>
    </row>
    <row r="189" spans="2:18">
      <c r="B189" s="113">
        <v>176</v>
      </c>
      <c r="C189" s="124" t="s">
        <v>328</v>
      </c>
      <c r="D189" s="122" t="s">
        <v>564</v>
      </c>
      <c r="E189" s="146" t="s">
        <v>315</v>
      </c>
      <c r="F189" s="146" t="s">
        <v>1167</v>
      </c>
      <c r="G189" s="147">
        <v>19910211</v>
      </c>
      <c r="H189" s="146" t="s">
        <v>945</v>
      </c>
      <c r="I189" s="146" t="s">
        <v>307</v>
      </c>
      <c r="J189" s="127" t="s">
        <v>321</v>
      </c>
      <c r="K189" s="146" t="s">
        <v>319</v>
      </c>
      <c r="L189" s="146" t="s">
        <v>397</v>
      </c>
      <c r="M189" s="146" t="s">
        <v>1168</v>
      </c>
      <c r="N189" s="146">
        <v>9</v>
      </c>
      <c r="O189" s="146" t="s">
        <v>900</v>
      </c>
      <c r="P189" s="146" t="s">
        <v>1169</v>
      </c>
      <c r="Q189" s="118">
        <v>8</v>
      </c>
      <c r="R189" s="43" t="s">
        <v>314</v>
      </c>
    </row>
    <row r="190" spans="2:18">
      <c r="B190" s="113">
        <v>177</v>
      </c>
      <c r="C190" s="141" t="s">
        <v>328</v>
      </c>
      <c r="D190" s="122" t="s">
        <v>564</v>
      </c>
      <c r="E190" s="141" t="s">
        <v>315</v>
      </c>
      <c r="F190" s="141" t="s">
        <v>1170</v>
      </c>
      <c r="G190" s="142" t="s">
        <v>1171</v>
      </c>
      <c r="H190" s="141" t="s">
        <v>1172</v>
      </c>
      <c r="I190" s="127" t="s">
        <v>307</v>
      </c>
      <c r="J190" s="127" t="s">
        <v>321</v>
      </c>
      <c r="K190" s="141" t="s">
        <v>319</v>
      </c>
      <c r="L190" s="141" t="s">
        <v>966</v>
      </c>
      <c r="M190" s="141" t="s">
        <v>1173</v>
      </c>
      <c r="N190" s="146">
        <v>18</v>
      </c>
      <c r="O190" s="141" t="s">
        <v>988</v>
      </c>
      <c r="P190" s="141" t="s">
        <v>1174</v>
      </c>
      <c r="Q190" s="118">
        <v>8</v>
      </c>
      <c r="R190" s="43" t="s">
        <v>314</v>
      </c>
    </row>
    <row r="191" spans="2:18">
      <c r="B191" s="113">
        <v>178</v>
      </c>
      <c r="C191" s="143" t="s">
        <v>328</v>
      </c>
      <c r="D191" s="115" t="s">
        <v>303</v>
      </c>
      <c r="E191" s="144" t="s">
        <v>315</v>
      </c>
      <c r="F191" s="144" t="s">
        <v>1175</v>
      </c>
      <c r="G191" s="145">
        <v>19850721</v>
      </c>
      <c r="H191" s="144" t="s">
        <v>1176</v>
      </c>
      <c r="I191" s="127" t="s">
        <v>307</v>
      </c>
      <c r="J191" s="127" t="s">
        <v>321</v>
      </c>
      <c r="K191" s="144" t="s">
        <v>309</v>
      </c>
      <c r="L191" s="144" t="s">
        <v>397</v>
      </c>
      <c r="M191" s="144" t="s">
        <v>941</v>
      </c>
      <c r="N191" s="146" t="s">
        <v>1177</v>
      </c>
      <c r="O191" s="144" t="s">
        <v>894</v>
      </c>
      <c r="P191" s="144" t="s">
        <v>1178</v>
      </c>
      <c r="Q191" s="118">
        <v>8</v>
      </c>
      <c r="R191" s="43" t="s">
        <v>314</v>
      </c>
    </row>
    <row r="192" spans="2:18">
      <c r="B192" s="113">
        <v>179</v>
      </c>
      <c r="C192" s="124" t="s">
        <v>328</v>
      </c>
      <c r="D192" s="115" t="s">
        <v>303</v>
      </c>
      <c r="E192" s="146" t="s">
        <v>315</v>
      </c>
      <c r="F192" s="146" t="s">
        <v>1179</v>
      </c>
      <c r="G192" s="147">
        <v>19940725</v>
      </c>
      <c r="H192" s="146" t="s">
        <v>1180</v>
      </c>
      <c r="I192" s="146" t="s">
        <v>307</v>
      </c>
      <c r="J192" s="127" t="s">
        <v>321</v>
      </c>
      <c r="K192" s="146" t="s">
        <v>309</v>
      </c>
      <c r="L192" s="146" t="s">
        <v>350</v>
      </c>
      <c r="M192" s="140" t="s">
        <v>1181</v>
      </c>
      <c r="N192" s="146">
        <v>4</v>
      </c>
      <c r="O192" s="146" t="s">
        <v>900</v>
      </c>
      <c r="P192" s="140" t="s">
        <v>1182</v>
      </c>
      <c r="Q192" s="118">
        <v>8</v>
      </c>
      <c r="R192" s="43" t="s">
        <v>314</v>
      </c>
    </row>
    <row r="193" spans="2:18">
      <c r="B193" s="113">
        <v>180</v>
      </c>
      <c r="C193" s="124" t="s">
        <v>328</v>
      </c>
      <c r="D193" s="115" t="s">
        <v>303</v>
      </c>
      <c r="E193" s="134" t="s">
        <v>315</v>
      </c>
      <c r="F193" s="134" t="s">
        <v>1183</v>
      </c>
      <c r="G193" s="135" t="s">
        <v>1184</v>
      </c>
      <c r="H193" s="134" t="s">
        <v>1185</v>
      </c>
      <c r="I193" s="134" t="s">
        <v>307</v>
      </c>
      <c r="J193" s="127" t="s">
        <v>321</v>
      </c>
      <c r="K193" s="134" t="s">
        <v>309</v>
      </c>
      <c r="L193" s="134" t="s">
        <v>1102</v>
      </c>
      <c r="M193" s="134" t="s">
        <v>1186</v>
      </c>
      <c r="N193" s="146">
        <v>22</v>
      </c>
      <c r="O193" s="134" t="s">
        <v>900</v>
      </c>
      <c r="P193" s="136" t="s">
        <v>321</v>
      </c>
      <c r="Q193" s="118">
        <v>8</v>
      </c>
      <c r="R193" s="43" t="s">
        <v>314</v>
      </c>
    </row>
    <row r="194" spans="2:18">
      <c r="B194" s="113">
        <v>181</v>
      </c>
      <c r="C194" s="134" t="s">
        <v>328</v>
      </c>
      <c r="D194" s="115" t="s">
        <v>303</v>
      </c>
      <c r="E194" s="134" t="s">
        <v>315</v>
      </c>
      <c r="F194" s="134" t="s">
        <v>927</v>
      </c>
      <c r="G194" s="135" t="s">
        <v>1187</v>
      </c>
      <c r="H194" s="134" t="s">
        <v>1188</v>
      </c>
      <c r="I194" s="134" t="s">
        <v>307</v>
      </c>
      <c r="J194" s="127" t="s">
        <v>321</v>
      </c>
      <c r="K194" s="134" t="s">
        <v>309</v>
      </c>
      <c r="L194" s="134" t="s">
        <v>1189</v>
      </c>
      <c r="M194" s="134" t="s">
        <v>1190</v>
      </c>
      <c r="N194" s="146">
        <v>8</v>
      </c>
      <c r="O194" s="134" t="s">
        <v>988</v>
      </c>
      <c r="P194" s="134" t="s">
        <v>1191</v>
      </c>
      <c r="Q194" s="118">
        <v>8</v>
      </c>
      <c r="R194" s="43" t="s">
        <v>314</v>
      </c>
    </row>
    <row r="195" spans="2:18">
      <c r="B195" s="113">
        <v>182</v>
      </c>
      <c r="C195" s="157" t="s">
        <v>302</v>
      </c>
      <c r="D195" s="115" t="s">
        <v>363</v>
      </c>
      <c r="E195" s="157" t="s">
        <v>315</v>
      </c>
      <c r="F195" s="157" t="s">
        <v>1192</v>
      </c>
      <c r="G195" s="158" t="s">
        <v>1193</v>
      </c>
      <c r="H195" s="157" t="s">
        <v>1194</v>
      </c>
      <c r="I195" s="157" t="s">
        <v>307</v>
      </c>
      <c r="J195" s="127" t="s">
        <v>321</v>
      </c>
      <c r="K195" s="157" t="s">
        <v>319</v>
      </c>
      <c r="L195" s="157" t="s">
        <v>1195</v>
      </c>
      <c r="M195" s="157" t="s">
        <v>1196</v>
      </c>
      <c r="N195" s="146">
        <v>21</v>
      </c>
      <c r="O195" s="157" t="s">
        <v>894</v>
      </c>
      <c r="P195" s="157" t="s">
        <v>1197</v>
      </c>
      <c r="Q195" s="118">
        <v>8</v>
      </c>
      <c r="R195" s="43" t="s">
        <v>314</v>
      </c>
    </row>
    <row r="196" spans="2:18">
      <c r="B196" s="113">
        <v>183</v>
      </c>
      <c r="C196" s="124" t="s">
        <v>328</v>
      </c>
      <c r="D196" s="115" t="s">
        <v>363</v>
      </c>
      <c r="E196" s="134" t="s">
        <v>315</v>
      </c>
      <c r="F196" s="134" t="s">
        <v>1198</v>
      </c>
      <c r="G196" s="135" t="s">
        <v>1199</v>
      </c>
      <c r="H196" s="134" t="s">
        <v>1200</v>
      </c>
      <c r="I196" s="134" t="s">
        <v>307</v>
      </c>
      <c r="J196" s="127" t="s">
        <v>321</v>
      </c>
      <c r="K196" s="134" t="s">
        <v>309</v>
      </c>
      <c r="L196" s="134" t="s">
        <v>397</v>
      </c>
      <c r="M196" s="134" t="s">
        <v>1201</v>
      </c>
      <c r="N196" s="146">
        <v>18</v>
      </c>
      <c r="O196" s="134" t="s">
        <v>900</v>
      </c>
      <c r="P196" s="134" t="s">
        <v>1202</v>
      </c>
      <c r="Q196" s="118">
        <v>8</v>
      </c>
      <c r="R196" s="43" t="s">
        <v>314</v>
      </c>
    </row>
    <row r="197" spans="2:18">
      <c r="B197" s="113">
        <v>184</v>
      </c>
      <c r="C197" s="124" t="s">
        <v>328</v>
      </c>
      <c r="D197" s="115" t="s">
        <v>363</v>
      </c>
      <c r="E197" s="146" t="s">
        <v>315</v>
      </c>
      <c r="F197" s="146" t="s">
        <v>1203</v>
      </c>
      <c r="G197" s="147">
        <v>19760511</v>
      </c>
      <c r="H197" s="146" t="s">
        <v>1204</v>
      </c>
      <c r="I197" s="146" t="s">
        <v>307</v>
      </c>
      <c r="J197" s="127" t="s">
        <v>321</v>
      </c>
      <c r="K197" s="146" t="s">
        <v>309</v>
      </c>
      <c r="L197" s="146" t="s">
        <v>1205</v>
      </c>
      <c r="M197" s="140" t="s">
        <v>1206</v>
      </c>
      <c r="N197" s="146">
        <v>22</v>
      </c>
      <c r="O197" s="146" t="s">
        <v>900</v>
      </c>
      <c r="P197" s="140" t="s">
        <v>1207</v>
      </c>
      <c r="Q197" s="118">
        <v>8</v>
      </c>
      <c r="R197" s="43" t="s">
        <v>314</v>
      </c>
    </row>
    <row r="198" spans="2:18">
      <c r="B198" s="113">
        <v>185</v>
      </c>
      <c r="C198" s="124" t="s">
        <v>328</v>
      </c>
      <c r="D198" s="115" t="s">
        <v>363</v>
      </c>
      <c r="E198" s="131" t="s">
        <v>315</v>
      </c>
      <c r="F198" s="131" t="s">
        <v>1208</v>
      </c>
      <c r="G198" s="132">
        <v>19831124</v>
      </c>
      <c r="H198" s="157" t="s">
        <v>1209</v>
      </c>
      <c r="I198" s="157" t="s">
        <v>307</v>
      </c>
      <c r="J198" s="127" t="s">
        <v>321</v>
      </c>
      <c r="K198" s="157" t="s">
        <v>319</v>
      </c>
      <c r="L198" s="157" t="s">
        <v>911</v>
      </c>
      <c r="M198" s="157" t="s">
        <v>1210</v>
      </c>
      <c r="N198" s="146">
        <v>17</v>
      </c>
      <c r="O198" s="157" t="s">
        <v>900</v>
      </c>
      <c r="P198" s="157" t="s">
        <v>1211</v>
      </c>
      <c r="Q198" s="118">
        <v>8</v>
      </c>
      <c r="R198" s="43" t="s">
        <v>314</v>
      </c>
    </row>
    <row r="199" spans="2:18">
      <c r="B199" s="113">
        <v>186</v>
      </c>
      <c r="C199" s="124" t="s">
        <v>328</v>
      </c>
      <c r="D199" s="115" t="s">
        <v>363</v>
      </c>
      <c r="E199" s="134" t="s">
        <v>315</v>
      </c>
      <c r="F199" s="134" t="s">
        <v>1212</v>
      </c>
      <c r="G199" s="135" t="s">
        <v>1213</v>
      </c>
      <c r="H199" s="134" t="s">
        <v>1214</v>
      </c>
      <c r="I199" s="134" t="s">
        <v>307</v>
      </c>
      <c r="J199" s="127" t="s">
        <v>321</v>
      </c>
      <c r="K199" s="134" t="s">
        <v>319</v>
      </c>
      <c r="L199" s="134" t="s">
        <v>759</v>
      </c>
      <c r="M199" s="134" t="s">
        <v>1215</v>
      </c>
      <c r="N199" s="146">
        <v>6</v>
      </c>
      <c r="O199" s="134" t="s">
        <v>900</v>
      </c>
      <c r="P199" s="134" t="s">
        <v>1038</v>
      </c>
      <c r="Q199" s="118">
        <v>8</v>
      </c>
      <c r="R199" s="43" t="s">
        <v>314</v>
      </c>
    </row>
    <row r="200" spans="2:18">
      <c r="B200" s="113">
        <v>187</v>
      </c>
      <c r="C200" s="141" t="s">
        <v>328</v>
      </c>
      <c r="D200" s="115" t="s">
        <v>417</v>
      </c>
      <c r="E200" s="141" t="s">
        <v>315</v>
      </c>
      <c r="F200" s="141" t="s">
        <v>1216</v>
      </c>
      <c r="G200" s="142" t="s">
        <v>1217</v>
      </c>
      <c r="H200" s="141" t="s">
        <v>1218</v>
      </c>
      <c r="I200" s="141" t="s">
        <v>307</v>
      </c>
      <c r="J200" s="127" t="s">
        <v>321</v>
      </c>
      <c r="K200" s="141" t="s">
        <v>319</v>
      </c>
      <c r="L200" s="141" t="s">
        <v>1219</v>
      </c>
      <c r="M200" s="141" t="s">
        <v>1220</v>
      </c>
      <c r="N200" s="146">
        <v>8</v>
      </c>
      <c r="O200" s="141" t="s">
        <v>988</v>
      </c>
      <c r="P200" s="155" t="s">
        <v>321</v>
      </c>
      <c r="Q200" s="118">
        <v>8</v>
      </c>
      <c r="R200" s="43" t="s">
        <v>314</v>
      </c>
    </row>
    <row r="201" spans="2:18">
      <c r="B201" s="113">
        <v>188</v>
      </c>
      <c r="C201" s="124" t="s">
        <v>328</v>
      </c>
      <c r="D201" s="115" t="s">
        <v>417</v>
      </c>
      <c r="E201" s="134" t="s">
        <v>315</v>
      </c>
      <c r="F201" s="134" t="s">
        <v>1221</v>
      </c>
      <c r="G201" s="135" t="s">
        <v>1222</v>
      </c>
      <c r="H201" s="134" t="s">
        <v>1223</v>
      </c>
      <c r="I201" s="134" t="s">
        <v>307</v>
      </c>
      <c r="J201" s="127" t="s">
        <v>321</v>
      </c>
      <c r="K201" s="134" t="s">
        <v>319</v>
      </c>
      <c r="L201" s="134" t="s">
        <v>397</v>
      </c>
      <c r="M201" s="134" t="s">
        <v>1224</v>
      </c>
      <c r="N201" s="146">
        <v>21</v>
      </c>
      <c r="O201" s="134" t="s">
        <v>900</v>
      </c>
      <c r="P201" s="134" t="s">
        <v>1225</v>
      </c>
      <c r="Q201" s="118">
        <v>8</v>
      </c>
      <c r="R201" s="43" t="s">
        <v>314</v>
      </c>
    </row>
    <row r="202" spans="2:18">
      <c r="B202" s="113">
        <v>189</v>
      </c>
      <c r="C202" s="124" t="s">
        <v>302</v>
      </c>
      <c r="D202" s="115" t="s">
        <v>417</v>
      </c>
      <c r="E202" s="146" t="s">
        <v>315</v>
      </c>
      <c r="F202" s="146" t="s">
        <v>1226</v>
      </c>
      <c r="G202" s="147">
        <v>19800701</v>
      </c>
      <c r="H202" s="146" t="s">
        <v>1227</v>
      </c>
      <c r="I202" s="146" t="s">
        <v>307</v>
      </c>
      <c r="J202" s="127" t="s">
        <v>321</v>
      </c>
      <c r="K202" s="146" t="s">
        <v>309</v>
      </c>
      <c r="L202" s="146" t="s">
        <v>385</v>
      </c>
      <c r="M202" s="146" t="s">
        <v>1228</v>
      </c>
      <c r="N202" s="146">
        <v>22</v>
      </c>
      <c r="O202" s="146" t="s">
        <v>900</v>
      </c>
      <c r="P202" s="146" t="s">
        <v>1229</v>
      </c>
      <c r="Q202" s="118">
        <v>8</v>
      </c>
      <c r="R202" s="43" t="s">
        <v>314</v>
      </c>
    </row>
    <row r="203" spans="2:18">
      <c r="B203" s="113">
        <v>190</v>
      </c>
      <c r="C203" s="124" t="s">
        <v>328</v>
      </c>
      <c r="D203" s="115" t="s">
        <v>417</v>
      </c>
      <c r="E203" s="146" t="s">
        <v>315</v>
      </c>
      <c r="F203" s="146" t="s">
        <v>1230</v>
      </c>
      <c r="G203" s="147">
        <v>19801203</v>
      </c>
      <c r="H203" s="146" t="s">
        <v>1231</v>
      </c>
      <c r="I203" s="146" t="s">
        <v>307</v>
      </c>
      <c r="J203" s="127" t="s">
        <v>321</v>
      </c>
      <c r="K203" s="146" t="s">
        <v>319</v>
      </c>
      <c r="L203" s="146" t="s">
        <v>397</v>
      </c>
      <c r="M203" s="140" t="s">
        <v>1232</v>
      </c>
      <c r="N203" s="146">
        <v>14</v>
      </c>
      <c r="O203" s="146" t="s">
        <v>900</v>
      </c>
      <c r="P203" s="156" t="s">
        <v>321</v>
      </c>
      <c r="Q203" s="118">
        <v>8</v>
      </c>
      <c r="R203" s="43" t="s">
        <v>314</v>
      </c>
    </row>
    <row r="204" spans="2:18">
      <c r="B204" s="113">
        <v>191</v>
      </c>
      <c r="C204" s="124" t="s">
        <v>302</v>
      </c>
      <c r="D204" s="115" t="s">
        <v>417</v>
      </c>
      <c r="E204" s="146" t="s">
        <v>315</v>
      </c>
      <c r="F204" s="146" t="s">
        <v>1233</v>
      </c>
      <c r="G204" s="147">
        <v>19890428</v>
      </c>
      <c r="H204" s="146" t="s">
        <v>1234</v>
      </c>
      <c r="I204" s="146" t="s">
        <v>307</v>
      </c>
      <c r="J204" s="127" t="s">
        <v>321</v>
      </c>
      <c r="K204" s="146" t="s">
        <v>319</v>
      </c>
      <c r="L204" s="146" t="s">
        <v>385</v>
      </c>
      <c r="M204" s="140" t="s">
        <v>1235</v>
      </c>
      <c r="N204" s="146">
        <v>13</v>
      </c>
      <c r="O204" s="146" t="s">
        <v>900</v>
      </c>
      <c r="P204" s="140" t="s">
        <v>1236</v>
      </c>
      <c r="Q204" s="118">
        <v>8</v>
      </c>
      <c r="R204" s="43" t="s">
        <v>314</v>
      </c>
    </row>
    <row r="205" spans="2:18">
      <c r="B205" s="113">
        <v>192</v>
      </c>
      <c r="C205" s="124" t="s">
        <v>302</v>
      </c>
      <c r="D205" s="115" t="s">
        <v>467</v>
      </c>
      <c r="E205" s="146" t="s">
        <v>315</v>
      </c>
      <c r="F205" s="146" t="s">
        <v>1237</v>
      </c>
      <c r="G205" s="147">
        <v>19921228</v>
      </c>
      <c r="H205" s="146" t="s">
        <v>1238</v>
      </c>
      <c r="I205" s="146" t="s">
        <v>307</v>
      </c>
      <c r="J205" s="127" t="s">
        <v>321</v>
      </c>
      <c r="K205" s="146" t="s">
        <v>319</v>
      </c>
      <c r="L205" s="146" t="s">
        <v>1195</v>
      </c>
      <c r="M205" s="140" t="s">
        <v>1239</v>
      </c>
      <c r="N205" s="146">
        <v>6</v>
      </c>
      <c r="O205" s="146" t="s">
        <v>900</v>
      </c>
      <c r="P205" s="140" t="s">
        <v>1240</v>
      </c>
      <c r="Q205" s="118">
        <v>8</v>
      </c>
      <c r="R205" s="43" t="s">
        <v>314</v>
      </c>
    </row>
    <row r="206" spans="2:18">
      <c r="B206" s="113">
        <v>193</v>
      </c>
      <c r="C206" s="124" t="s">
        <v>302</v>
      </c>
      <c r="D206" s="115" t="s">
        <v>467</v>
      </c>
      <c r="E206" s="146" t="s">
        <v>315</v>
      </c>
      <c r="F206" s="146" t="s">
        <v>1241</v>
      </c>
      <c r="G206" s="147">
        <v>19890921</v>
      </c>
      <c r="H206" s="146" t="s">
        <v>1242</v>
      </c>
      <c r="I206" s="146" t="s">
        <v>307</v>
      </c>
      <c r="J206" s="127" t="s">
        <v>321</v>
      </c>
      <c r="K206" s="146" t="s">
        <v>319</v>
      </c>
      <c r="L206" s="146" t="s">
        <v>1243</v>
      </c>
      <c r="M206" s="146" t="s">
        <v>1244</v>
      </c>
      <c r="N206" s="146">
        <v>11</v>
      </c>
      <c r="O206" s="146" t="s">
        <v>900</v>
      </c>
      <c r="P206" s="148" t="s">
        <v>321</v>
      </c>
      <c r="Q206" s="118">
        <v>8</v>
      </c>
      <c r="R206" s="43" t="s">
        <v>314</v>
      </c>
    </row>
    <row r="207" spans="2:18">
      <c r="B207" s="113">
        <v>194</v>
      </c>
      <c r="C207" s="124" t="s">
        <v>328</v>
      </c>
      <c r="D207" s="115" t="s">
        <v>467</v>
      </c>
      <c r="E207" s="146" t="s">
        <v>315</v>
      </c>
      <c r="F207" s="146" t="s">
        <v>1245</v>
      </c>
      <c r="G207" s="147">
        <v>19890408</v>
      </c>
      <c r="H207" s="146" t="s">
        <v>1246</v>
      </c>
      <c r="I207" s="134" t="s">
        <v>307</v>
      </c>
      <c r="J207" s="127" t="s">
        <v>321</v>
      </c>
      <c r="K207" s="146" t="s">
        <v>319</v>
      </c>
      <c r="L207" s="146" t="s">
        <v>1247</v>
      </c>
      <c r="M207" s="146" t="s">
        <v>1248</v>
      </c>
      <c r="N207" s="146">
        <v>12</v>
      </c>
      <c r="O207" s="146" t="s">
        <v>900</v>
      </c>
      <c r="P207" s="148" t="s">
        <v>321</v>
      </c>
      <c r="Q207" s="118">
        <v>8</v>
      </c>
      <c r="R207" s="43" t="s">
        <v>314</v>
      </c>
    </row>
    <row r="208" spans="2:18">
      <c r="B208" s="113">
        <v>195</v>
      </c>
      <c r="C208" s="134" t="s">
        <v>328</v>
      </c>
      <c r="D208" s="115" t="s">
        <v>467</v>
      </c>
      <c r="E208" s="134" t="s">
        <v>304</v>
      </c>
      <c r="F208" s="134" t="s">
        <v>1249</v>
      </c>
      <c r="G208" s="135" t="s">
        <v>1250</v>
      </c>
      <c r="H208" s="134" t="s">
        <v>1251</v>
      </c>
      <c r="I208" s="134" t="s">
        <v>307</v>
      </c>
      <c r="J208" s="127" t="s">
        <v>321</v>
      </c>
      <c r="K208" s="134" t="s">
        <v>319</v>
      </c>
      <c r="L208" s="134" t="s">
        <v>447</v>
      </c>
      <c r="M208" s="134" t="s">
        <v>1252</v>
      </c>
      <c r="N208" s="146">
        <v>5</v>
      </c>
      <c r="O208" s="134" t="s">
        <v>988</v>
      </c>
      <c r="P208" s="136" t="s">
        <v>321</v>
      </c>
      <c r="Q208" s="118">
        <v>8</v>
      </c>
      <c r="R208" s="43" t="s">
        <v>314</v>
      </c>
    </row>
    <row r="209" spans="2:18">
      <c r="B209" s="113">
        <v>196</v>
      </c>
      <c r="C209" s="124" t="s">
        <v>328</v>
      </c>
      <c r="D209" s="115" t="s">
        <v>467</v>
      </c>
      <c r="E209" s="146" t="s">
        <v>315</v>
      </c>
      <c r="F209" s="146" t="s">
        <v>1253</v>
      </c>
      <c r="G209" s="147">
        <v>19731031</v>
      </c>
      <c r="H209" s="146" t="s">
        <v>1254</v>
      </c>
      <c r="I209" s="146" t="s">
        <v>307</v>
      </c>
      <c r="J209" s="127" t="s">
        <v>321</v>
      </c>
      <c r="K209" s="146" t="s">
        <v>309</v>
      </c>
      <c r="L209" s="146" t="s">
        <v>1255</v>
      </c>
      <c r="M209" s="140" t="s">
        <v>1256</v>
      </c>
      <c r="N209" s="146">
        <v>26</v>
      </c>
      <c r="O209" s="146" t="s">
        <v>900</v>
      </c>
      <c r="P209" s="140" t="s">
        <v>1257</v>
      </c>
      <c r="Q209" s="118">
        <v>8</v>
      </c>
      <c r="R209" s="43" t="s">
        <v>314</v>
      </c>
    </row>
    <row r="210" spans="2:18">
      <c r="B210" s="113">
        <v>197</v>
      </c>
      <c r="C210" s="124" t="s">
        <v>302</v>
      </c>
      <c r="D210" s="115" t="s">
        <v>517</v>
      </c>
      <c r="E210" s="146" t="s">
        <v>304</v>
      </c>
      <c r="F210" s="146" t="s">
        <v>1258</v>
      </c>
      <c r="G210" s="147">
        <v>19780822</v>
      </c>
      <c r="H210" s="146" t="s">
        <v>1259</v>
      </c>
      <c r="I210" s="146" t="s">
        <v>307</v>
      </c>
      <c r="J210" s="127" t="s">
        <v>321</v>
      </c>
      <c r="K210" s="146" t="s">
        <v>319</v>
      </c>
      <c r="L210" s="146" t="s">
        <v>402</v>
      </c>
      <c r="M210" s="134" t="s">
        <v>1260</v>
      </c>
      <c r="N210" s="146">
        <v>16</v>
      </c>
      <c r="O210" s="146" t="s">
        <v>900</v>
      </c>
      <c r="P210" s="134" t="s">
        <v>1261</v>
      </c>
      <c r="Q210" s="118">
        <v>8</v>
      </c>
      <c r="R210" s="43" t="s">
        <v>314</v>
      </c>
    </row>
    <row r="211" spans="2:18">
      <c r="B211" s="113">
        <v>198</v>
      </c>
      <c r="C211" s="134" t="s">
        <v>328</v>
      </c>
      <c r="D211" s="115" t="s">
        <v>517</v>
      </c>
      <c r="E211" s="134" t="s">
        <v>315</v>
      </c>
      <c r="F211" s="134" t="s">
        <v>1262</v>
      </c>
      <c r="G211" s="135" t="s">
        <v>1263</v>
      </c>
      <c r="H211" s="134" t="s">
        <v>1264</v>
      </c>
      <c r="I211" s="134" t="s">
        <v>307</v>
      </c>
      <c r="J211" s="127" t="s">
        <v>321</v>
      </c>
      <c r="K211" s="134" t="s">
        <v>319</v>
      </c>
      <c r="L211" s="134" t="s">
        <v>1195</v>
      </c>
      <c r="M211" s="134" t="s">
        <v>1265</v>
      </c>
      <c r="N211" s="146">
        <v>10</v>
      </c>
      <c r="O211" s="134" t="s">
        <v>988</v>
      </c>
      <c r="P211" s="136" t="s">
        <v>321</v>
      </c>
      <c r="Q211" s="118">
        <v>8</v>
      </c>
      <c r="R211" s="43" t="s">
        <v>314</v>
      </c>
    </row>
    <row r="212" spans="2:18">
      <c r="B212" s="113">
        <v>199</v>
      </c>
      <c r="C212" s="124" t="s">
        <v>302</v>
      </c>
      <c r="D212" s="115" t="s">
        <v>517</v>
      </c>
      <c r="E212" s="150" t="s">
        <v>304</v>
      </c>
      <c r="F212" s="150" t="s">
        <v>1266</v>
      </c>
      <c r="G212" s="152" t="s">
        <v>1267</v>
      </c>
      <c r="H212" s="150" t="s">
        <v>1268</v>
      </c>
      <c r="I212" s="150" t="s">
        <v>307</v>
      </c>
      <c r="J212" s="127" t="s">
        <v>321</v>
      </c>
      <c r="K212" s="150" t="s">
        <v>319</v>
      </c>
      <c r="L212" s="150" t="s">
        <v>402</v>
      </c>
      <c r="M212" s="150" t="s">
        <v>1269</v>
      </c>
      <c r="N212" s="146">
        <v>6</v>
      </c>
      <c r="O212" s="150" t="s">
        <v>900</v>
      </c>
      <c r="P212" s="150" t="s">
        <v>1270</v>
      </c>
      <c r="Q212" s="118">
        <v>8</v>
      </c>
      <c r="R212" s="43" t="s">
        <v>314</v>
      </c>
    </row>
    <row r="213" spans="2:18">
      <c r="B213" s="113">
        <v>200</v>
      </c>
      <c r="C213" s="141" t="s">
        <v>302</v>
      </c>
      <c r="D213" s="115" t="s">
        <v>517</v>
      </c>
      <c r="E213" s="141" t="s">
        <v>304</v>
      </c>
      <c r="F213" s="141" t="s">
        <v>1271</v>
      </c>
      <c r="G213" s="142" t="s">
        <v>1272</v>
      </c>
      <c r="H213" s="141" t="s">
        <v>1273</v>
      </c>
      <c r="I213" s="141" t="s">
        <v>307</v>
      </c>
      <c r="J213" s="127" t="s">
        <v>321</v>
      </c>
      <c r="K213" s="141" t="s">
        <v>309</v>
      </c>
      <c r="L213" s="141" t="s">
        <v>1274</v>
      </c>
      <c r="M213" s="141" t="s">
        <v>1275</v>
      </c>
      <c r="N213" s="146">
        <v>13</v>
      </c>
      <c r="O213" s="141" t="s">
        <v>988</v>
      </c>
      <c r="P213" s="141" t="s">
        <v>1276</v>
      </c>
      <c r="Q213" s="118">
        <v>8</v>
      </c>
      <c r="R213" s="43" t="s">
        <v>314</v>
      </c>
    </row>
    <row r="214" spans="2:18">
      <c r="B214" s="113">
        <v>201</v>
      </c>
      <c r="C214" s="134" t="s">
        <v>302</v>
      </c>
      <c r="D214" s="115" t="s">
        <v>517</v>
      </c>
      <c r="E214" s="134" t="s">
        <v>315</v>
      </c>
      <c r="F214" s="134" t="s">
        <v>1277</v>
      </c>
      <c r="G214" s="135" t="s">
        <v>1278</v>
      </c>
      <c r="H214" s="134" t="s">
        <v>1279</v>
      </c>
      <c r="I214" s="134" t="s">
        <v>307</v>
      </c>
      <c r="J214" s="127" t="s">
        <v>321</v>
      </c>
      <c r="K214" s="134" t="s">
        <v>319</v>
      </c>
      <c r="L214" s="134" t="s">
        <v>397</v>
      </c>
      <c r="M214" s="134" t="s">
        <v>1280</v>
      </c>
      <c r="N214" s="146">
        <v>2</v>
      </c>
      <c r="O214" s="134" t="s">
        <v>988</v>
      </c>
      <c r="P214" s="134" t="s">
        <v>1281</v>
      </c>
      <c r="Q214" s="118">
        <v>8</v>
      </c>
      <c r="R214" s="43" t="s">
        <v>314</v>
      </c>
    </row>
    <row r="215" spans="2:18">
      <c r="B215" s="113">
        <v>202</v>
      </c>
      <c r="C215" s="124" t="s">
        <v>302</v>
      </c>
      <c r="D215" s="122" t="s">
        <v>564</v>
      </c>
      <c r="E215" s="134" t="s">
        <v>304</v>
      </c>
      <c r="F215" s="134" t="s">
        <v>1282</v>
      </c>
      <c r="G215" s="135" t="s">
        <v>1283</v>
      </c>
      <c r="H215" s="134" t="s">
        <v>1284</v>
      </c>
      <c r="I215" s="134" t="s">
        <v>307</v>
      </c>
      <c r="J215" s="127" t="s">
        <v>321</v>
      </c>
      <c r="K215" s="134" t="s">
        <v>309</v>
      </c>
      <c r="L215" s="134" t="s">
        <v>1285</v>
      </c>
      <c r="M215" s="134" t="s">
        <v>1286</v>
      </c>
      <c r="N215" s="146">
        <v>25</v>
      </c>
      <c r="O215" s="134" t="s">
        <v>900</v>
      </c>
      <c r="P215" s="134" t="s">
        <v>1287</v>
      </c>
      <c r="Q215" s="118">
        <v>8</v>
      </c>
      <c r="R215" s="43" t="s">
        <v>314</v>
      </c>
    </row>
    <row r="216" spans="2:18">
      <c r="B216" s="113">
        <v>203</v>
      </c>
      <c r="C216" s="124" t="s">
        <v>302</v>
      </c>
      <c r="D216" s="122" t="s">
        <v>564</v>
      </c>
      <c r="E216" s="146" t="s">
        <v>315</v>
      </c>
      <c r="F216" s="146" t="s">
        <v>1288</v>
      </c>
      <c r="G216" s="147">
        <v>19811110</v>
      </c>
      <c r="H216" s="146" t="s">
        <v>1289</v>
      </c>
      <c r="I216" s="146" t="s">
        <v>307</v>
      </c>
      <c r="J216" s="127" t="s">
        <v>321</v>
      </c>
      <c r="K216" s="146" t="s">
        <v>319</v>
      </c>
      <c r="L216" s="146" t="s">
        <v>898</v>
      </c>
      <c r="M216" s="146" t="s">
        <v>1290</v>
      </c>
      <c r="N216" s="146">
        <v>16</v>
      </c>
      <c r="O216" s="146" t="s">
        <v>900</v>
      </c>
      <c r="P216" s="146" t="s">
        <v>1291</v>
      </c>
      <c r="Q216" s="118">
        <v>8</v>
      </c>
      <c r="R216" s="43" t="s">
        <v>314</v>
      </c>
    </row>
    <row r="217" spans="2:18">
      <c r="B217" s="113">
        <v>204</v>
      </c>
      <c r="C217" s="146" t="s">
        <v>302</v>
      </c>
      <c r="D217" s="122" t="s">
        <v>564</v>
      </c>
      <c r="E217" s="159" t="s">
        <v>304</v>
      </c>
      <c r="F217" s="146" t="s">
        <v>1292</v>
      </c>
      <c r="G217" s="128" t="s">
        <v>321</v>
      </c>
      <c r="H217" s="160" t="s">
        <v>1293</v>
      </c>
      <c r="I217" s="146" t="s">
        <v>307</v>
      </c>
      <c r="J217" s="124" t="s">
        <v>1294</v>
      </c>
      <c r="K217" s="134" t="s">
        <v>309</v>
      </c>
      <c r="L217" s="146" t="s">
        <v>490</v>
      </c>
      <c r="M217" s="161" t="s">
        <v>321</v>
      </c>
      <c r="N217" s="146">
        <v>18</v>
      </c>
      <c r="O217" s="159" t="s">
        <v>1295</v>
      </c>
      <c r="P217" s="161" t="s">
        <v>321</v>
      </c>
      <c r="Q217" s="118">
        <v>8</v>
      </c>
      <c r="R217" s="43" t="s">
        <v>314</v>
      </c>
    </row>
    <row r="218" spans="2:18">
      <c r="B218" s="113">
        <v>205</v>
      </c>
      <c r="C218" s="146" t="s">
        <v>328</v>
      </c>
      <c r="D218" s="122" t="s">
        <v>564</v>
      </c>
      <c r="E218" s="159" t="s">
        <v>304</v>
      </c>
      <c r="F218" s="146" t="s">
        <v>1296</v>
      </c>
      <c r="G218" s="128" t="s">
        <v>321</v>
      </c>
      <c r="H218" s="162" t="s">
        <v>1297</v>
      </c>
      <c r="I218" s="146" t="s">
        <v>307</v>
      </c>
      <c r="J218" s="127" t="s">
        <v>321</v>
      </c>
      <c r="K218" s="124" t="s">
        <v>319</v>
      </c>
      <c r="L218" s="146" t="s">
        <v>402</v>
      </c>
      <c r="M218" s="161" t="s">
        <v>321</v>
      </c>
      <c r="N218" s="146">
        <v>7</v>
      </c>
      <c r="O218" s="159" t="s">
        <v>1295</v>
      </c>
      <c r="P218" s="161" t="s">
        <v>321</v>
      </c>
      <c r="Q218" s="118">
        <v>8</v>
      </c>
      <c r="R218" s="43" t="s">
        <v>314</v>
      </c>
    </row>
    <row r="219" spans="2:18">
      <c r="B219" s="113">
        <v>206</v>
      </c>
      <c r="C219" s="146" t="s">
        <v>328</v>
      </c>
      <c r="D219" s="122" t="s">
        <v>564</v>
      </c>
      <c r="E219" s="159" t="s">
        <v>304</v>
      </c>
      <c r="F219" s="146" t="s">
        <v>831</v>
      </c>
      <c r="G219" s="128" t="s">
        <v>321</v>
      </c>
      <c r="H219" s="160" t="s">
        <v>1298</v>
      </c>
      <c r="I219" s="146" t="s">
        <v>307</v>
      </c>
      <c r="J219" s="127" t="s">
        <v>321</v>
      </c>
      <c r="K219" s="124" t="s">
        <v>319</v>
      </c>
      <c r="L219" s="146" t="s">
        <v>402</v>
      </c>
      <c r="M219" s="161" t="s">
        <v>321</v>
      </c>
      <c r="N219" s="146">
        <v>13</v>
      </c>
      <c r="O219" s="159" t="s">
        <v>1295</v>
      </c>
      <c r="P219" s="161" t="s">
        <v>321</v>
      </c>
      <c r="Q219" s="118">
        <v>8</v>
      </c>
      <c r="R219" s="43" t="s">
        <v>314</v>
      </c>
    </row>
    <row r="220" spans="2:18">
      <c r="B220" s="113">
        <v>207</v>
      </c>
      <c r="C220" s="146" t="s">
        <v>302</v>
      </c>
      <c r="D220" s="115" t="s">
        <v>303</v>
      </c>
      <c r="E220" s="159" t="s">
        <v>304</v>
      </c>
      <c r="F220" s="146" t="s">
        <v>1299</v>
      </c>
      <c r="G220" s="128" t="s">
        <v>321</v>
      </c>
      <c r="H220" s="162" t="s">
        <v>1300</v>
      </c>
      <c r="I220" s="146" t="s">
        <v>307</v>
      </c>
      <c r="J220" s="127" t="s">
        <v>321</v>
      </c>
      <c r="K220" s="124" t="s">
        <v>319</v>
      </c>
      <c r="L220" s="146" t="s">
        <v>490</v>
      </c>
      <c r="M220" s="161" t="s">
        <v>321</v>
      </c>
      <c r="N220" s="146">
        <v>14</v>
      </c>
      <c r="O220" s="159" t="s">
        <v>1295</v>
      </c>
      <c r="P220" s="161" t="s">
        <v>321</v>
      </c>
      <c r="Q220" s="118">
        <v>8</v>
      </c>
      <c r="R220" s="43" t="s">
        <v>314</v>
      </c>
    </row>
    <row r="221" spans="2:18">
      <c r="B221" s="113">
        <v>208</v>
      </c>
      <c r="C221" s="146" t="s">
        <v>328</v>
      </c>
      <c r="D221" s="115" t="s">
        <v>303</v>
      </c>
      <c r="E221" s="159" t="s">
        <v>304</v>
      </c>
      <c r="F221" s="146" t="s">
        <v>1301</v>
      </c>
      <c r="G221" s="128" t="s">
        <v>321</v>
      </c>
      <c r="H221" s="124" t="s">
        <v>1302</v>
      </c>
      <c r="I221" s="146" t="s">
        <v>307</v>
      </c>
      <c r="J221" s="127" t="s">
        <v>321</v>
      </c>
      <c r="K221" s="124" t="s">
        <v>319</v>
      </c>
      <c r="L221" s="146" t="s">
        <v>1303</v>
      </c>
      <c r="M221" s="161" t="s">
        <v>321</v>
      </c>
      <c r="N221" s="146">
        <v>10</v>
      </c>
      <c r="O221" s="159" t="s">
        <v>1295</v>
      </c>
      <c r="P221" s="161" t="s">
        <v>321</v>
      </c>
      <c r="Q221" s="118">
        <v>8</v>
      </c>
      <c r="R221" s="43" t="s">
        <v>314</v>
      </c>
    </row>
    <row r="222" spans="2:18">
      <c r="B222" s="113">
        <v>209</v>
      </c>
      <c r="C222" s="146" t="s">
        <v>302</v>
      </c>
      <c r="D222" s="115" t="s">
        <v>363</v>
      </c>
      <c r="E222" s="159" t="s">
        <v>304</v>
      </c>
      <c r="F222" s="146" t="s">
        <v>1304</v>
      </c>
      <c r="G222" s="128" t="s">
        <v>321</v>
      </c>
      <c r="H222" s="124" t="s">
        <v>1305</v>
      </c>
      <c r="I222" s="146" t="s">
        <v>307</v>
      </c>
      <c r="J222" s="127" t="s">
        <v>321</v>
      </c>
      <c r="K222" s="124" t="s">
        <v>319</v>
      </c>
      <c r="L222" s="146" t="s">
        <v>490</v>
      </c>
      <c r="M222" s="161" t="s">
        <v>321</v>
      </c>
      <c r="N222" s="146">
        <v>13</v>
      </c>
      <c r="O222" s="159" t="s">
        <v>1295</v>
      </c>
      <c r="P222" s="161" t="s">
        <v>321</v>
      </c>
      <c r="Q222" s="118">
        <v>8</v>
      </c>
      <c r="R222" s="43" t="s">
        <v>314</v>
      </c>
    </row>
    <row r="223" spans="2:18">
      <c r="B223" s="113">
        <v>210</v>
      </c>
      <c r="C223" s="146" t="s">
        <v>302</v>
      </c>
      <c r="D223" s="115" t="s">
        <v>363</v>
      </c>
      <c r="E223" s="159" t="s">
        <v>304</v>
      </c>
      <c r="F223" s="146" t="s">
        <v>1306</v>
      </c>
      <c r="G223" s="128" t="s">
        <v>321</v>
      </c>
      <c r="H223" s="124" t="s">
        <v>1307</v>
      </c>
      <c r="I223" s="146" t="s">
        <v>368</v>
      </c>
      <c r="J223" s="127" t="s">
        <v>321</v>
      </c>
      <c r="K223" s="124" t="s">
        <v>319</v>
      </c>
      <c r="L223" s="146" t="s">
        <v>1308</v>
      </c>
      <c r="M223" s="161" t="s">
        <v>321</v>
      </c>
      <c r="N223" s="146">
        <v>10</v>
      </c>
      <c r="O223" s="159" t="s">
        <v>1295</v>
      </c>
      <c r="P223" s="161" t="s">
        <v>321</v>
      </c>
      <c r="Q223" s="118">
        <v>8</v>
      </c>
      <c r="R223" s="43" t="s">
        <v>314</v>
      </c>
    </row>
    <row r="224" spans="2:18">
      <c r="B224" s="113">
        <v>211</v>
      </c>
      <c r="C224" s="146" t="s">
        <v>302</v>
      </c>
      <c r="D224" s="115" t="s">
        <v>417</v>
      </c>
      <c r="E224" s="159" t="s">
        <v>315</v>
      </c>
      <c r="F224" s="146" t="s">
        <v>1309</v>
      </c>
      <c r="G224" s="128" t="s">
        <v>321</v>
      </c>
      <c r="H224" s="124" t="s">
        <v>1310</v>
      </c>
      <c r="I224" s="146" t="s">
        <v>307</v>
      </c>
      <c r="J224" s="127" t="s">
        <v>321</v>
      </c>
      <c r="K224" s="124" t="s">
        <v>319</v>
      </c>
      <c r="L224" s="146" t="s">
        <v>814</v>
      </c>
      <c r="M224" s="161" t="s">
        <v>321</v>
      </c>
      <c r="N224" s="146">
        <v>3</v>
      </c>
      <c r="O224" s="159" t="s">
        <v>1295</v>
      </c>
      <c r="P224" s="124" t="s">
        <v>1311</v>
      </c>
      <c r="Q224" s="118">
        <v>8</v>
      </c>
      <c r="R224" s="43" t="s">
        <v>314</v>
      </c>
    </row>
    <row r="225" spans="2:18">
      <c r="B225" s="113">
        <v>212</v>
      </c>
      <c r="C225" s="146" t="s">
        <v>302</v>
      </c>
      <c r="D225" s="115" t="s">
        <v>417</v>
      </c>
      <c r="E225" s="159" t="s">
        <v>304</v>
      </c>
      <c r="F225" s="146" t="s">
        <v>1312</v>
      </c>
      <c r="G225" s="128" t="s">
        <v>321</v>
      </c>
      <c r="H225" s="124" t="s">
        <v>1307</v>
      </c>
      <c r="I225" s="146" t="s">
        <v>368</v>
      </c>
      <c r="J225" s="127" t="s">
        <v>321</v>
      </c>
      <c r="K225" s="124" t="s">
        <v>319</v>
      </c>
      <c r="L225" s="146" t="s">
        <v>1313</v>
      </c>
      <c r="M225" s="161" t="s">
        <v>321</v>
      </c>
      <c r="N225" s="146">
        <v>25</v>
      </c>
      <c r="O225" s="159" t="s">
        <v>1295</v>
      </c>
      <c r="P225" s="124" t="s">
        <v>1314</v>
      </c>
      <c r="Q225" s="118">
        <v>8</v>
      </c>
      <c r="R225" s="43" t="s">
        <v>314</v>
      </c>
    </row>
    <row r="226" spans="2:18">
      <c r="B226" s="113">
        <v>213</v>
      </c>
      <c r="C226" s="146" t="s">
        <v>302</v>
      </c>
      <c r="D226" s="115" t="s">
        <v>467</v>
      </c>
      <c r="E226" s="159" t="s">
        <v>315</v>
      </c>
      <c r="F226" s="146" t="s">
        <v>1315</v>
      </c>
      <c r="G226" s="128" t="s">
        <v>321</v>
      </c>
      <c r="H226" s="124" t="s">
        <v>1316</v>
      </c>
      <c r="I226" s="146" t="s">
        <v>307</v>
      </c>
      <c r="J226" s="127" t="s">
        <v>321</v>
      </c>
      <c r="K226" s="124" t="s">
        <v>319</v>
      </c>
      <c r="L226" s="146" t="s">
        <v>1317</v>
      </c>
      <c r="M226" s="161" t="s">
        <v>321</v>
      </c>
      <c r="N226" s="146">
        <v>17</v>
      </c>
      <c r="O226" s="159" t="s">
        <v>1295</v>
      </c>
      <c r="P226" s="161" t="s">
        <v>321</v>
      </c>
      <c r="Q226" s="118">
        <v>8</v>
      </c>
      <c r="R226" s="43" t="s">
        <v>314</v>
      </c>
    </row>
    <row r="227" spans="2:18">
      <c r="B227" s="113">
        <v>214</v>
      </c>
      <c r="C227" s="146" t="s">
        <v>302</v>
      </c>
      <c r="D227" s="122" t="s">
        <v>564</v>
      </c>
      <c r="E227" s="159" t="s">
        <v>304</v>
      </c>
      <c r="F227" s="146" t="s">
        <v>1318</v>
      </c>
      <c r="G227" s="128" t="s">
        <v>321</v>
      </c>
      <c r="H227" s="124" t="s">
        <v>1319</v>
      </c>
      <c r="I227" s="146" t="s">
        <v>307</v>
      </c>
      <c r="J227" s="127" t="s">
        <v>321</v>
      </c>
      <c r="K227" s="124" t="s">
        <v>319</v>
      </c>
      <c r="L227" s="146" t="s">
        <v>485</v>
      </c>
      <c r="M227" s="137" t="s">
        <v>1320</v>
      </c>
      <c r="N227" s="146">
        <v>20</v>
      </c>
      <c r="O227" s="117" t="s">
        <v>312</v>
      </c>
      <c r="P227" s="139" t="s">
        <v>1321</v>
      </c>
      <c r="Q227" s="118">
        <v>8</v>
      </c>
      <c r="R227" s="43" t="s">
        <v>314</v>
      </c>
    </row>
    <row r="228" spans="2:18">
      <c r="B228" s="113">
        <v>215</v>
      </c>
      <c r="C228" s="146" t="s">
        <v>328</v>
      </c>
      <c r="D228" s="122" t="s">
        <v>564</v>
      </c>
      <c r="E228" s="159" t="s">
        <v>315</v>
      </c>
      <c r="F228" s="146" t="s">
        <v>1322</v>
      </c>
      <c r="G228" s="128" t="s">
        <v>321</v>
      </c>
      <c r="H228" s="124" t="s">
        <v>1323</v>
      </c>
      <c r="I228" s="146" t="s">
        <v>307</v>
      </c>
      <c r="J228" s="127" t="s">
        <v>321</v>
      </c>
      <c r="K228" s="124" t="s">
        <v>319</v>
      </c>
      <c r="L228" s="146" t="s">
        <v>452</v>
      </c>
      <c r="M228" s="21" t="s">
        <v>1324</v>
      </c>
      <c r="N228" s="21">
        <v>14</v>
      </c>
      <c r="O228" s="117" t="s">
        <v>312</v>
      </c>
      <c r="P228" s="144" t="s">
        <v>1325</v>
      </c>
      <c r="Q228" s="118">
        <v>8</v>
      </c>
      <c r="R228" s="43" t="s">
        <v>314</v>
      </c>
    </row>
    <row r="229" spans="2:18">
      <c r="B229" s="113">
        <v>216</v>
      </c>
      <c r="C229" s="146" t="s">
        <v>302</v>
      </c>
      <c r="D229" s="115" t="s">
        <v>467</v>
      </c>
      <c r="E229" s="159" t="s">
        <v>315</v>
      </c>
      <c r="F229" s="146" t="s">
        <v>1326</v>
      </c>
      <c r="G229" s="128" t="s">
        <v>321</v>
      </c>
      <c r="H229" s="124" t="s">
        <v>1307</v>
      </c>
      <c r="I229" s="146" t="s">
        <v>368</v>
      </c>
      <c r="J229" s="127" t="s">
        <v>321</v>
      </c>
      <c r="K229" s="124" t="s">
        <v>319</v>
      </c>
      <c r="L229" s="146" t="s">
        <v>1327</v>
      </c>
      <c r="M229" s="163" t="s">
        <v>321</v>
      </c>
      <c r="N229" s="146">
        <v>4</v>
      </c>
      <c r="O229" s="159" t="s">
        <v>988</v>
      </c>
      <c r="P229" s="163" t="s">
        <v>321</v>
      </c>
      <c r="Q229" s="118">
        <v>8</v>
      </c>
      <c r="R229" s="43" t="s">
        <v>314</v>
      </c>
    </row>
    <row r="230" spans="2:18">
      <c r="B230" s="113">
        <v>217</v>
      </c>
      <c r="C230" s="146" t="s">
        <v>328</v>
      </c>
      <c r="D230" s="115" t="s">
        <v>467</v>
      </c>
      <c r="E230" s="159" t="s">
        <v>315</v>
      </c>
      <c r="F230" s="146" t="s">
        <v>1328</v>
      </c>
      <c r="G230" s="128" t="s">
        <v>321</v>
      </c>
      <c r="H230" s="124" t="s">
        <v>1307</v>
      </c>
      <c r="I230" s="146" t="s">
        <v>368</v>
      </c>
      <c r="J230" s="127" t="s">
        <v>321</v>
      </c>
      <c r="K230" s="124" t="s">
        <v>319</v>
      </c>
      <c r="L230" s="146" t="s">
        <v>1327</v>
      </c>
      <c r="M230" s="163" t="s">
        <v>321</v>
      </c>
      <c r="N230" s="146">
        <v>3</v>
      </c>
      <c r="O230" s="159" t="s">
        <v>988</v>
      </c>
      <c r="P230" s="163" t="s">
        <v>321</v>
      </c>
      <c r="Q230" s="118">
        <v>8</v>
      </c>
      <c r="R230" s="43" t="s">
        <v>314</v>
      </c>
    </row>
    <row r="231" spans="2:18">
      <c r="B231" s="113">
        <v>218</v>
      </c>
      <c r="C231" s="146" t="s">
        <v>328</v>
      </c>
      <c r="D231" s="122" t="s">
        <v>564</v>
      </c>
      <c r="E231" s="159" t="s">
        <v>315</v>
      </c>
      <c r="F231" s="146" t="s">
        <v>1329</v>
      </c>
      <c r="G231" s="128" t="s">
        <v>321</v>
      </c>
      <c r="H231" s="124" t="s">
        <v>1330</v>
      </c>
      <c r="I231" s="146" t="s">
        <v>307</v>
      </c>
      <c r="J231" s="127" t="s">
        <v>321</v>
      </c>
      <c r="K231" s="124" t="s">
        <v>319</v>
      </c>
      <c r="L231" s="146" t="s">
        <v>1331</v>
      </c>
      <c r="M231" s="163" t="s">
        <v>321</v>
      </c>
      <c r="N231" s="146">
        <v>4</v>
      </c>
      <c r="O231" s="159" t="s">
        <v>988</v>
      </c>
      <c r="P231" s="163" t="s">
        <v>321</v>
      </c>
      <c r="Q231" s="118">
        <v>8</v>
      </c>
      <c r="R231" s="43" t="s">
        <v>314</v>
      </c>
    </row>
    <row r="232" spans="2:18">
      <c r="B232" s="113">
        <v>219</v>
      </c>
      <c r="C232" s="146" t="s">
        <v>328</v>
      </c>
      <c r="D232" s="115" t="s">
        <v>303</v>
      </c>
      <c r="E232" s="159" t="s">
        <v>315</v>
      </c>
      <c r="F232" s="146" t="s">
        <v>1332</v>
      </c>
      <c r="G232" s="128" t="s">
        <v>321</v>
      </c>
      <c r="H232" s="124" t="s">
        <v>1307</v>
      </c>
      <c r="I232" s="146" t="s">
        <v>368</v>
      </c>
      <c r="J232" s="127" t="s">
        <v>321</v>
      </c>
      <c r="K232" s="124" t="s">
        <v>319</v>
      </c>
      <c r="L232" s="146" t="s">
        <v>1333</v>
      </c>
      <c r="M232" s="163" t="s">
        <v>321</v>
      </c>
      <c r="N232" s="146">
        <v>4</v>
      </c>
      <c r="O232" s="159" t="s">
        <v>988</v>
      </c>
      <c r="P232" s="163" t="s">
        <v>321</v>
      </c>
      <c r="Q232" s="118">
        <v>8</v>
      </c>
      <c r="R232" s="43" t="s">
        <v>314</v>
      </c>
    </row>
    <row r="233" spans="2:18" ht="18" thickBot="1">
      <c r="B233" s="164">
        <v>220</v>
      </c>
      <c r="C233" s="165" t="s">
        <v>302</v>
      </c>
      <c r="D233" s="166" t="s">
        <v>517</v>
      </c>
      <c r="E233" s="167" t="s">
        <v>304</v>
      </c>
      <c r="F233" s="165" t="s">
        <v>1334</v>
      </c>
      <c r="G233" s="168" t="s">
        <v>321</v>
      </c>
      <c r="H233" s="169" t="s">
        <v>1307</v>
      </c>
      <c r="I233" s="165" t="s">
        <v>368</v>
      </c>
      <c r="J233" s="170" t="s">
        <v>321</v>
      </c>
      <c r="K233" s="169" t="s">
        <v>319</v>
      </c>
      <c r="L233" s="165" t="s">
        <v>1335</v>
      </c>
      <c r="M233" s="171" t="s">
        <v>321</v>
      </c>
      <c r="N233" s="165">
        <v>6</v>
      </c>
      <c r="O233" s="165" t="s">
        <v>900</v>
      </c>
      <c r="P233" s="171" t="s">
        <v>321</v>
      </c>
      <c r="Q233" s="172">
        <v>8</v>
      </c>
      <c r="R233" s="45" t="s">
        <v>314</v>
      </c>
    </row>
    <row r="235" spans="2:18">
      <c r="G235"/>
      <c r="Q235" s="35" t="s">
        <v>112</v>
      </c>
      <c r="R235" s="34">
        <f>COUNTIF(R14:R233,"확정")/COUNTA(R14:R233)</f>
        <v>1</v>
      </c>
    </row>
    <row r="236" spans="2:18">
      <c r="G236"/>
    </row>
    <row r="237" spans="2:18" ht="18" thickBot="1">
      <c r="B237" s="23" t="s">
        <v>125</v>
      </c>
      <c r="G237"/>
    </row>
    <row r="238" spans="2:18">
      <c r="B238" s="48" t="s">
        <v>60</v>
      </c>
      <c r="C238" s="49" t="s">
        <v>117</v>
      </c>
      <c r="D238" s="49" t="s">
        <v>118</v>
      </c>
      <c r="E238" s="49" t="s">
        <v>119</v>
      </c>
      <c r="F238" s="49" t="s">
        <v>120</v>
      </c>
      <c r="G238" s="173" t="s">
        <v>121</v>
      </c>
      <c r="H238" s="49" t="s">
        <v>122</v>
      </c>
      <c r="I238" s="49" t="s">
        <v>123</v>
      </c>
      <c r="J238" s="50" t="s">
        <v>124</v>
      </c>
    </row>
    <row r="239" spans="2:18">
      <c r="B239" s="42" t="s">
        <v>10</v>
      </c>
      <c r="C239" s="51">
        <v>72</v>
      </c>
      <c r="D239" s="21">
        <v>3</v>
      </c>
      <c r="E239" s="21">
        <v>6</v>
      </c>
      <c r="F239" s="21">
        <v>26</v>
      </c>
      <c r="G239" s="174">
        <v>0</v>
      </c>
      <c r="H239" s="21">
        <v>0</v>
      </c>
      <c r="I239" s="21">
        <v>0</v>
      </c>
      <c r="J239" s="36">
        <f>SUM(C239:I239)</f>
        <v>107</v>
      </c>
    </row>
    <row r="240" spans="2:18">
      <c r="B240" s="42" t="s">
        <v>11</v>
      </c>
      <c r="C240" s="51">
        <v>66</v>
      </c>
      <c r="D240" s="21">
        <v>0</v>
      </c>
      <c r="E240" s="21">
        <v>0</v>
      </c>
      <c r="F240" s="21">
        <v>46</v>
      </c>
      <c r="G240" s="174">
        <v>0</v>
      </c>
      <c r="H240" s="21">
        <v>1</v>
      </c>
      <c r="I240" s="21">
        <v>0</v>
      </c>
      <c r="J240" s="36">
        <f t="shared" ref="J240:J242" si="0">SUM(C240:I240)</f>
        <v>113</v>
      </c>
    </row>
    <row r="241" spans="2:10">
      <c r="B241" s="42" t="s">
        <v>81</v>
      </c>
      <c r="C241" s="21"/>
      <c r="D241" s="21"/>
      <c r="E241" s="21"/>
      <c r="F241" s="21"/>
      <c r="G241" s="174"/>
      <c r="H241" s="21"/>
      <c r="I241" s="21"/>
      <c r="J241" s="36">
        <f t="shared" si="0"/>
        <v>0</v>
      </c>
    </row>
    <row r="242" spans="2:10">
      <c r="B242" s="42" t="s">
        <v>80</v>
      </c>
      <c r="C242" s="21"/>
      <c r="D242" s="21"/>
      <c r="E242" s="21"/>
      <c r="F242" s="21"/>
      <c r="G242" s="174"/>
      <c r="H242" s="21"/>
      <c r="I242" s="21"/>
      <c r="J242" s="36">
        <f t="shared" si="0"/>
        <v>0</v>
      </c>
    </row>
    <row r="243" spans="2:10" ht="18" thickBot="1">
      <c r="B243" s="44" t="s">
        <v>124</v>
      </c>
      <c r="C243" s="37">
        <f>SUM(C239:C242)</f>
        <v>138</v>
      </c>
      <c r="D243" s="37">
        <f t="shared" ref="D243:I243" si="1">SUM(D239:D242)</f>
        <v>3</v>
      </c>
      <c r="E243" s="37">
        <f t="shared" si="1"/>
        <v>6</v>
      </c>
      <c r="F243" s="37">
        <f t="shared" si="1"/>
        <v>72</v>
      </c>
      <c r="G243" s="175">
        <f t="shared" si="1"/>
        <v>0</v>
      </c>
      <c r="H243" s="37">
        <f t="shared" si="1"/>
        <v>1</v>
      </c>
      <c r="I243" s="37">
        <f t="shared" si="1"/>
        <v>0</v>
      </c>
      <c r="J243" s="38">
        <f>SUM(J239:J242)</f>
        <v>220</v>
      </c>
    </row>
  </sheetData>
  <mergeCells count="19">
    <mergeCell ref="B12:B13"/>
    <mergeCell ref="B1:Q1"/>
    <mergeCell ref="C4:E4"/>
    <mergeCell ref="F4:H4"/>
    <mergeCell ref="I4:K4"/>
    <mergeCell ref="L4:N4"/>
    <mergeCell ref="C12:C13"/>
    <mergeCell ref="O12:O13"/>
    <mergeCell ref="R12:R13"/>
    <mergeCell ref="D12:D13"/>
    <mergeCell ref="F12:F13"/>
    <mergeCell ref="G12:G13"/>
    <mergeCell ref="Q12:Q13"/>
    <mergeCell ref="E12:E13"/>
    <mergeCell ref="J12:L12"/>
    <mergeCell ref="M12:M13"/>
    <mergeCell ref="N12:N13"/>
    <mergeCell ref="P12:P13"/>
    <mergeCell ref="H12:I12"/>
  </mergeCells>
  <phoneticPr fontId="2" type="noConversion"/>
  <dataValidations count="2">
    <dataValidation type="list" allowBlank="1" showInputMessage="1" sqref="E166 E168 E164 E145:E146 C145 E175 C170 E170" xr:uid="{00000000-0002-0000-0100-000000000000}">
      <formula1>"코디네이터, 주강사, 보조강사, 기술지원, 외부전문가"</formula1>
    </dataValidation>
    <dataValidation type="list" allowBlank="1" sqref="E165" xr:uid="{00000000-0002-0000-0100-000001000000}">
      <formula1>"코디네이터,주강사,보조강사,기술지원,외부전문가"</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13"/>
  <sheetViews>
    <sheetView view="pageBreakPreview" zoomScale="85" zoomScaleNormal="85" zoomScaleSheetLayoutView="85" workbookViewId="0">
      <selection sqref="A1:XFD1048576"/>
    </sheetView>
  </sheetViews>
  <sheetFormatPr defaultRowHeight="17.399999999999999"/>
  <cols>
    <col min="1" max="1" width="3.3984375" customWidth="1"/>
    <col min="3" max="3" width="10.09765625" bestFit="1" customWidth="1"/>
    <col min="4" max="4" width="17.69921875" bestFit="1" customWidth="1"/>
    <col min="5" max="5" width="18.09765625" bestFit="1" customWidth="1"/>
    <col min="10" max="10" width="10.09765625" bestFit="1" customWidth="1"/>
    <col min="12" max="12" width="8.3984375" bestFit="1" customWidth="1"/>
    <col min="14" max="14" width="15.8984375" bestFit="1" customWidth="1"/>
    <col min="16" max="16" width="19.69921875" customWidth="1"/>
    <col min="17" max="17" width="8.3984375" bestFit="1" customWidth="1"/>
    <col min="18" max="18" width="12.8984375" customWidth="1"/>
    <col min="19" max="19" width="9.09765625" bestFit="1" customWidth="1"/>
    <col min="21" max="21" width="12.8984375" bestFit="1" customWidth="1"/>
  </cols>
  <sheetData>
    <row r="1" spans="2:23" ht="27.6">
      <c r="B1" s="335" t="s">
        <v>97</v>
      </c>
      <c r="C1" s="335"/>
      <c r="D1" s="335"/>
      <c r="E1" s="335"/>
      <c r="F1" s="335"/>
      <c r="G1" s="335"/>
      <c r="H1" s="335"/>
      <c r="I1" s="335"/>
      <c r="J1" s="335"/>
      <c r="K1" s="335"/>
      <c r="L1" s="335"/>
      <c r="M1" s="335"/>
      <c r="N1" s="335"/>
      <c r="O1" s="335"/>
      <c r="P1" s="335"/>
      <c r="Q1" s="335"/>
      <c r="R1" s="335"/>
      <c r="S1" s="335"/>
      <c r="T1" s="335"/>
      <c r="U1" s="335"/>
      <c r="V1" s="335"/>
      <c r="W1" s="335"/>
    </row>
    <row r="3" spans="2:23">
      <c r="B3" s="18"/>
      <c r="C3" s="18"/>
    </row>
    <row r="4" spans="2:23">
      <c r="B4" s="341" t="s">
        <v>83</v>
      </c>
      <c r="C4" s="336" t="s">
        <v>106</v>
      </c>
      <c r="D4" s="336" t="s">
        <v>98</v>
      </c>
      <c r="E4" s="342" t="s">
        <v>99</v>
      </c>
      <c r="F4" s="344" t="s">
        <v>101</v>
      </c>
      <c r="G4" s="344"/>
      <c r="H4" s="344"/>
      <c r="I4" s="344"/>
      <c r="J4" s="344"/>
      <c r="K4" s="344"/>
      <c r="L4" s="344"/>
      <c r="M4" s="338" t="s">
        <v>100</v>
      </c>
      <c r="N4" s="339"/>
      <c r="O4" s="339"/>
      <c r="P4" s="339"/>
      <c r="Q4" s="340"/>
      <c r="R4" s="345" t="s">
        <v>102</v>
      </c>
      <c r="S4" s="345"/>
      <c r="T4" s="345"/>
      <c r="U4" s="345"/>
      <c r="V4" s="345"/>
      <c r="W4" s="345"/>
    </row>
    <row r="5" spans="2:23" ht="31.2">
      <c r="B5" s="341"/>
      <c r="C5" s="337"/>
      <c r="D5" s="337"/>
      <c r="E5" s="343"/>
      <c r="F5" s="25" t="s">
        <v>84</v>
      </c>
      <c r="G5" s="25" t="s">
        <v>85</v>
      </c>
      <c r="H5" s="25" t="s">
        <v>86</v>
      </c>
      <c r="I5" s="25" t="s">
        <v>87</v>
      </c>
      <c r="J5" s="25" t="s">
        <v>88</v>
      </c>
      <c r="K5" s="26" t="s">
        <v>89</v>
      </c>
      <c r="L5" s="26" t="s">
        <v>90</v>
      </c>
      <c r="M5" s="27" t="s">
        <v>85</v>
      </c>
      <c r="N5" s="27" t="s">
        <v>105</v>
      </c>
      <c r="O5" s="27" t="s">
        <v>89</v>
      </c>
      <c r="P5" s="27" t="s">
        <v>91</v>
      </c>
      <c r="Q5" s="27" t="s">
        <v>93</v>
      </c>
      <c r="R5" s="28" t="s">
        <v>92</v>
      </c>
      <c r="S5" s="28" t="s">
        <v>85</v>
      </c>
      <c r="T5" s="28" t="s">
        <v>103</v>
      </c>
      <c r="U5" s="28" t="s">
        <v>60</v>
      </c>
      <c r="V5" s="28" t="s">
        <v>104</v>
      </c>
      <c r="W5" s="28" t="s">
        <v>94</v>
      </c>
    </row>
    <row r="6" spans="2:23" ht="46.8">
      <c r="B6" s="89">
        <v>1</v>
      </c>
      <c r="C6" s="176" t="s">
        <v>223</v>
      </c>
      <c r="D6" s="81" t="s">
        <v>95</v>
      </c>
      <c r="E6" s="82" t="s">
        <v>264</v>
      </c>
      <c r="F6" s="83" t="s">
        <v>265</v>
      </c>
      <c r="G6" s="83">
        <v>1</v>
      </c>
      <c r="H6" s="83" t="s">
        <v>266</v>
      </c>
      <c r="I6" s="83" t="s">
        <v>267</v>
      </c>
      <c r="J6" s="84" t="s">
        <v>268</v>
      </c>
      <c r="K6" s="85" t="s">
        <v>96</v>
      </c>
      <c r="L6" s="179" t="s">
        <v>1339</v>
      </c>
      <c r="M6" s="86" t="s">
        <v>9</v>
      </c>
      <c r="N6" s="86"/>
      <c r="O6" s="86"/>
      <c r="P6" s="86"/>
      <c r="Q6" s="86"/>
      <c r="R6" s="83"/>
      <c r="S6" s="86"/>
      <c r="T6" s="87"/>
      <c r="U6" s="83"/>
      <c r="V6" s="86"/>
      <c r="W6" s="86"/>
    </row>
    <row r="7" spans="2:23" ht="62.4">
      <c r="B7" s="89">
        <v>2</v>
      </c>
      <c r="C7" s="176" t="s">
        <v>1337</v>
      </c>
      <c r="D7" s="81" t="s">
        <v>95</v>
      </c>
      <c r="E7" s="88" t="s">
        <v>269</v>
      </c>
      <c r="F7" s="83" t="s">
        <v>265</v>
      </c>
      <c r="G7" s="83">
        <v>1</v>
      </c>
      <c r="H7" s="83" t="s">
        <v>270</v>
      </c>
      <c r="I7" s="83" t="s">
        <v>271</v>
      </c>
      <c r="J7" s="86" t="s">
        <v>272</v>
      </c>
      <c r="K7" s="86" t="s">
        <v>273</v>
      </c>
      <c r="L7" s="179" t="s">
        <v>1339</v>
      </c>
      <c r="M7" s="86"/>
      <c r="N7" s="86"/>
      <c r="O7" s="86"/>
      <c r="P7" s="86"/>
      <c r="Q7" s="86"/>
      <c r="R7" s="83"/>
      <c r="S7" s="86"/>
      <c r="T7" s="87"/>
      <c r="U7" s="83"/>
      <c r="V7" s="86"/>
      <c r="W7" s="86"/>
    </row>
    <row r="8" spans="2:23" ht="31.2">
      <c r="B8" s="89">
        <v>4</v>
      </c>
      <c r="C8" s="176" t="s">
        <v>224</v>
      </c>
      <c r="D8" s="81" t="s">
        <v>95</v>
      </c>
      <c r="E8" s="82" t="s">
        <v>274</v>
      </c>
      <c r="F8" s="83" t="s">
        <v>265</v>
      </c>
      <c r="G8" s="83">
        <v>1</v>
      </c>
      <c r="H8" s="83" t="s">
        <v>270</v>
      </c>
      <c r="I8" s="83" t="s">
        <v>271</v>
      </c>
      <c r="J8" s="86" t="s">
        <v>272</v>
      </c>
      <c r="K8" s="86" t="s">
        <v>273</v>
      </c>
      <c r="L8" s="179" t="s">
        <v>1339</v>
      </c>
      <c r="M8" s="86"/>
      <c r="N8" s="86"/>
      <c r="O8" s="86"/>
      <c r="P8" s="86"/>
      <c r="Q8" s="86"/>
      <c r="R8" s="83"/>
      <c r="S8" s="86"/>
      <c r="T8" s="87"/>
      <c r="U8" s="86"/>
      <c r="V8" s="86"/>
      <c r="W8" s="86"/>
    </row>
    <row r="9" spans="2:23" ht="26.4">
      <c r="B9" s="89">
        <v>5</v>
      </c>
      <c r="C9" s="176" t="s">
        <v>1336</v>
      </c>
      <c r="D9" s="81" t="s">
        <v>275</v>
      </c>
      <c r="E9" s="178" t="s">
        <v>1338</v>
      </c>
      <c r="F9" s="83" t="s">
        <v>276</v>
      </c>
      <c r="G9" s="83">
        <v>1</v>
      </c>
      <c r="H9" s="83" t="s">
        <v>277</v>
      </c>
      <c r="I9" s="83" t="s">
        <v>278</v>
      </c>
      <c r="J9" s="86" t="s">
        <v>272</v>
      </c>
      <c r="K9" s="86" t="s">
        <v>273</v>
      </c>
      <c r="L9" s="179" t="s">
        <v>1339</v>
      </c>
      <c r="M9" s="86"/>
      <c r="N9" s="86"/>
      <c r="O9" s="86"/>
      <c r="P9" s="86"/>
      <c r="Q9" s="86"/>
      <c r="R9" s="86"/>
      <c r="S9" s="86"/>
      <c r="T9" s="86"/>
      <c r="U9" s="86"/>
      <c r="V9" s="86"/>
      <c r="W9" s="86"/>
    </row>
    <row r="10" spans="2:23">
      <c r="B10" s="89">
        <v>6</v>
      </c>
      <c r="C10" s="177" t="s">
        <v>223</v>
      </c>
      <c r="D10" s="81" t="s">
        <v>279</v>
      </c>
      <c r="E10" s="83" t="s">
        <v>280</v>
      </c>
      <c r="F10" s="83"/>
      <c r="G10" s="83"/>
      <c r="H10" s="83"/>
      <c r="I10" s="83"/>
      <c r="J10" s="86"/>
      <c r="K10" s="86"/>
      <c r="L10" s="83"/>
      <c r="M10" s="86"/>
      <c r="N10" s="86"/>
      <c r="O10" s="86"/>
      <c r="P10" s="86"/>
      <c r="Q10" s="86"/>
      <c r="R10" s="83" t="s">
        <v>281</v>
      </c>
      <c r="S10" s="86">
        <v>21</v>
      </c>
      <c r="T10" s="87">
        <v>99000</v>
      </c>
      <c r="U10" s="83" t="s">
        <v>282</v>
      </c>
      <c r="V10" s="86"/>
      <c r="W10" s="86" t="s">
        <v>273</v>
      </c>
    </row>
    <row r="11" spans="2:23" ht="31.2">
      <c r="B11" s="89">
        <v>7</v>
      </c>
      <c r="C11" s="176" t="s">
        <v>226</v>
      </c>
      <c r="D11" s="81" t="s">
        <v>283</v>
      </c>
      <c r="E11" s="86" t="s">
        <v>284</v>
      </c>
      <c r="F11" s="83"/>
      <c r="G11" s="83"/>
      <c r="H11" s="83"/>
      <c r="I11" s="83"/>
      <c r="J11" s="86"/>
      <c r="K11" s="86"/>
      <c r="L11" s="83"/>
      <c r="M11" s="86"/>
      <c r="N11" s="86"/>
      <c r="O11" s="86"/>
      <c r="P11" s="86"/>
      <c r="Q11" s="86"/>
      <c r="R11" s="83" t="s">
        <v>285</v>
      </c>
      <c r="S11" s="86">
        <v>21</v>
      </c>
      <c r="T11" s="87">
        <v>99000</v>
      </c>
      <c r="U11" s="86" t="s">
        <v>284</v>
      </c>
      <c r="V11" s="86"/>
      <c r="W11" s="86" t="s">
        <v>273</v>
      </c>
    </row>
    <row r="12" spans="2:23">
      <c r="B12" s="89">
        <v>8</v>
      </c>
      <c r="C12" s="177" t="s">
        <v>225</v>
      </c>
      <c r="D12" s="81" t="s">
        <v>286</v>
      </c>
      <c r="E12" s="82" t="s">
        <v>228</v>
      </c>
      <c r="F12" s="83"/>
      <c r="G12" s="83"/>
      <c r="H12" s="83"/>
      <c r="I12" s="83"/>
      <c r="J12" s="84"/>
      <c r="K12" s="85"/>
      <c r="L12" s="83"/>
      <c r="M12" s="86">
        <v>20</v>
      </c>
      <c r="N12" s="86" t="s">
        <v>287</v>
      </c>
      <c r="O12" s="86" t="s">
        <v>273</v>
      </c>
      <c r="P12" s="86" t="s">
        <v>288</v>
      </c>
      <c r="Q12" s="86" t="s">
        <v>273</v>
      </c>
      <c r="R12" s="83"/>
      <c r="S12" s="86"/>
      <c r="T12" s="87"/>
      <c r="U12" s="83"/>
      <c r="V12" s="86"/>
      <c r="W12" s="86"/>
    </row>
    <row r="13" spans="2:23">
      <c r="B13" s="24" t="s">
        <v>107</v>
      </c>
    </row>
  </sheetData>
  <mergeCells count="8">
    <mergeCell ref="B1:W1"/>
    <mergeCell ref="C4:C5"/>
    <mergeCell ref="M4:Q4"/>
    <mergeCell ref="B4:B5"/>
    <mergeCell ref="D4:D5"/>
    <mergeCell ref="E4:E5"/>
    <mergeCell ref="F4:L4"/>
    <mergeCell ref="R4:W4"/>
  </mergeCells>
  <phoneticPr fontId="2" type="noConversion"/>
  <pageMargins left="0.7" right="0.7" top="0.75" bottom="0.75" header="0.3" footer="0.3"/>
  <pageSetup paperSize="9" scale="3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U29"/>
  <sheetViews>
    <sheetView view="pageBreakPreview" zoomScale="70" zoomScaleNormal="70" zoomScaleSheetLayoutView="70" workbookViewId="0">
      <selection sqref="A1:XFD1048576"/>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7.09765625" bestFit="1" customWidth="1"/>
    <col min="10" max="10" width="8.69921875" bestFit="1" customWidth="1"/>
    <col min="11" max="11" width="4.69921875" bestFit="1" customWidth="1"/>
    <col min="12" max="12" width="6.59765625" bestFit="1" customWidth="1"/>
    <col min="13" max="13" width="5.3984375" bestFit="1" customWidth="1"/>
    <col min="14" max="14" width="18.09765625" bestFit="1" customWidth="1"/>
    <col min="15" max="15" width="10" customWidth="1"/>
  </cols>
  <sheetData>
    <row r="1" spans="1:15" ht="25.8">
      <c r="A1" s="346" t="s">
        <v>44</v>
      </c>
      <c r="B1" s="346"/>
      <c r="C1" s="346"/>
      <c r="D1" s="346"/>
      <c r="E1" s="346"/>
      <c r="F1" s="346"/>
      <c r="G1" s="346"/>
      <c r="H1" s="346"/>
      <c r="I1" s="346"/>
      <c r="J1" s="346"/>
      <c r="K1" s="346"/>
      <c r="L1" s="346"/>
      <c r="M1" s="346"/>
      <c r="N1" s="346"/>
      <c r="O1" s="346"/>
    </row>
    <row r="2" spans="1:15" ht="18" thickBot="1">
      <c r="A2" s="4"/>
      <c r="B2" s="4"/>
      <c r="C2" s="347"/>
      <c r="D2" s="347"/>
      <c r="E2" s="347"/>
      <c r="F2" s="347"/>
      <c r="G2" s="347"/>
      <c r="H2" s="347"/>
      <c r="I2" s="347"/>
      <c r="J2" s="347"/>
      <c r="K2" s="347"/>
      <c r="L2" s="347"/>
      <c r="M2" s="347"/>
      <c r="N2" s="347"/>
      <c r="O2" s="347"/>
    </row>
    <row r="3" spans="1:15">
      <c r="A3" s="348" t="s">
        <v>26</v>
      </c>
      <c r="B3" s="350" t="s">
        <v>27</v>
      </c>
      <c r="C3" s="350" t="s">
        <v>28</v>
      </c>
      <c r="D3" s="350" t="s">
        <v>176</v>
      </c>
      <c r="E3" s="352" t="s">
        <v>1</v>
      </c>
      <c r="F3" s="352"/>
      <c r="G3" s="352"/>
      <c r="H3" s="352"/>
      <c r="I3" s="352"/>
      <c r="J3" s="352"/>
      <c r="K3" s="352"/>
      <c r="L3" s="352"/>
      <c r="M3" s="352"/>
      <c r="N3" s="353" t="s">
        <v>2</v>
      </c>
      <c r="O3" s="355" t="s">
        <v>144</v>
      </c>
    </row>
    <row r="4" spans="1:15">
      <c r="A4" s="349"/>
      <c r="B4" s="351"/>
      <c r="C4" s="351"/>
      <c r="D4" s="351"/>
      <c r="E4" s="16" t="s">
        <v>41</v>
      </c>
      <c r="F4" s="16" t="s">
        <v>47</v>
      </c>
      <c r="G4" s="16" t="s">
        <v>42</v>
      </c>
      <c r="H4" s="16" t="s">
        <v>50</v>
      </c>
      <c r="I4" s="16" t="s">
        <v>48</v>
      </c>
      <c r="J4" s="16" t="s">
        <v>43</v>
      </c>
      <c r="K4" s="16" t="s">
        <v>51</v>
      </c>
      <c r="L4" s="16" t="s">
        <v>49</v>
      </c>
      <c r="M4" s="16" t="s">
        <v>42</v>
      </c>
      <c r="N4" s="354"/>
      <c r="O4" s="356"/>
    </row>
    <row r="5" spans="1:15" ht="31.5" customHeight="1">
      <c r="A5" s="369"/>
      <c r="B5" s="370" t="s">
        <v>54</v>
      </c>
      <c r="C5" s="29" t="s">
        <v>169</v>
      </c>
      <c r="D5" s="30" t="s">
        <v>177</v>
      </c>
      <c r="E5" s="8" t="s">
        <v>5</v>
      </c>
      <c r="F5" s="9">
        <v>60000</v>
      </c>
      <c r="G5" s="10" t="s">
        <v>7</v>
      </c>
      <c r="H5" s="10" t="s">
        <v>4</v>
      </c>
      <c r="I5" s="9">
        <v>60</v>
      </c>
      <c r="J5" s="8" t="s">
        <v>8</v>
      </c>
      <c r="K5" s="10" t="s">
        <v>4</v>
      </c>
      <c r="L5" s="9">
        <v>6</v>
      </c>
      <c r="M5" s="8" t="s">
        <v>18</v>
      </c>
      <c r="N5" s="11">
        <f t="shared" ref="N5:N18" si="0">F5*I5*L5</f>
        <v>21600000</v>
      </c>
      <c r="O5" s="11" t="s">
        <v>146</v>
      </c>
    </row>
    <row r="6" spans="1:15" ht="31.5" customHeight="1">
      <c r="A6" s="369"/>
      <c r="B6" s="370"/>
      <c r="C6" s="31"/>
      <c r="D6" s="32" t="s">
        <v>179</v>
      </c>
      <c r="E6" s="12" t="s">
        <v>116</v>
      </c>
      <c r="F6" s="9">
        <v>360000</v>
      </c>
      <c r="G6" s="10" t="s">
        <v>7</v>
      </c>
      <c r="H6" s="10" t="s">
        <v>4</v>
      </c>
      <c r="I6" s="13">
        <v>20</v>
      </c>
      <c r="J6" s="10" t="s">
        <v>8</v>
      </c>
      <c r="K6" s="10" t="s">
        <v>6</v>
      </c>
      <c r="L6" s="13">
        <v>6</v>
      </c>
      <c r="M6" s="10" t="s">
        <v>9</v>
      </c>
      <c r="N6" s="11">
        <f t="shared" ref="N6" si="1">F6*I6*L6</f>
        <v>43200000</v>
      </c>
      <c r="O6" s="11" t="s">
        <v>145</v>
      </c>
    </row>
    <row r="7" spans="1:15" ht="31.5" customHeight="1">
      <c r="A7" s="369"/>
      <c r="B7" s="370"/>
      <c r="C7" s="31"/>
      <c r="D7" s="32" t="s">
        <v>178</v>
      </c>
      <c r="E7" s="12" t="s">
        <v>23</v>
      </c>
      <c r="F7" s="9">
        <v>400000</v>
      </c>
      <c r="G7" s="10" t="s">
        <v>7</v>
      </c>
      <c r="H7" s="10" t="s">
        <v>4</v>
      </c>
      <c r="I7" s="13">
        <v>1</v>
      </c>
      <c r="J7" s="10" t="s">
        <v>155</v>
      </c>
      <c r="K7" s="10" t="s">
        <v>6</v>
      </c>
      <c r="L7" s="13">
        <v>2</v>
      </c>
      <c r="M7" s="10" t="s">
        <v>9</v>
      </c>
      <c r="N7" s="11">
        <f t="shared" ref="N7:N8" si="2">F7*I7*L7</f>
        <v>800000</v>
      </c>
      <c r="O7" s="11" t="s">
        <v>148</v>
      </c>
    </row>
    <row r="8" spans="1:15" ht="31.5" customHeight="1">
      <c r="A8" s="369"/>
      <c r="B8" s="370"/>
      <c r="C8" s="29" t="s">
        <v>170</v>
      </c>
      <c r="D8" s="32" t="s">
        <v>191</v>
      </c>
      <c r="E8" s="12" t="s">
        <v>115</v>
      </c>
      <c r="F8" s="9">
        <v>10000</v>
      </c>
      <c r="G8" s="10" t="s">
        <v>7</v>
      </c>
      <c r="H8" s="10" t="s">
        <v>4</v>
      </c>
      <c r="I8" s="13">
        <v>20</v>
      </c>
      <c r="J8" s="10" t="s">
        <v>24</v>
      </c>
      <c r="K8" s="10" t="s">
        <v>6</v>
      </c>
      <c r="L8" s="13">
        <v>20</v>
      </c>
      <c r="M8" s="10" t="s">
        <v>9</v>
      </c>
      <c r="N8" s="11">
        <f t="shared" si="2"/>
        <v>4000000</v>
      </c>
      <c r="O8" s="11" t="s">
        <v>147</v>
      </c>
    </row>
    <row r="9" spans="1:15" ht="31.5" customHeight="1">
      <c r="A9" s="369"/>
      <c r="B9" s="370"/>
      <c r="C9" s="53" t="s">
        <v>171</v>
      </c>
      <c r="D9" s="32" t="s">
        <v>180</v>
      </c>
      <c r="E9" s="12" t="s">
        <v>109</v>
      </c>
      <c r="F9" s="9">
        <v>20000</v>
      </c>
      <c r="G9" s="10" t="s">
        <v>7</v>
      </c>
      <c r="H9" s="10" t="s">
        <v>4</v>
      </c>
      <c r="I9" s="13">
        <v>20</v>
      </c>
      <c r="J9" s="10" t="s">
        <v>150</v>
      </c>
      <c r="K9" s="10" t="s">
        <v>6</v>
      </c>
      <c r="L9" s="13">
        <v>20</v>
      </c>
      <c r="M9" s="10" t="s">
        <v>9</v>
      </c>
      <c r="N9" s="11">
        <f t="shared" ref="N9" si="3">F9*I9*L9</f>
        <v>8000000</v>
      </c>
      <c r="O9" s="11" t="s">
        <v>149</v>
      </c>
    </row>
    <row r="10" spans="1:15" ht="31.5" customHeight="1">
      <c r="A10" s="369"/>
      <c r="B10" s="370"/>
      <c r="C10" s="54" t="s">
        <v>172</v>
      </c>
      <c r="D10" s="32" t="s">
        <v>14</v>
      </c>
      <c r="E10" s="12" t="s">
        <v>10</v>
      </c>
      <c r="F10" s="9">
        <v>300000</v>
      </c>
      <c r="G10" s="10" t="s">
        <v>7</v>
      </c>
      <c r="H10" s="10" t="s">
        <v>4</v>
      </c>
      <c r="I10" s="13">
        <v>5</v>
      </c>
      <c r="J10" s="10" t="s">
        <v>12</v>
      </c>
      <c r="K10" s="10" t="s">
        <v>6</v>
      </c>
      <c r="L10" s="13">
        <v>20</v>
      </c>
      <c r="M10" s="10" t="s">
        <v>9</v>
      </c>
      <c r="N10" s="11">
        <f t="shared" si="0"/>
        <v>30000000</v>
      </c>
      <c r="O10" s="11"/>
    </row>
    <row r="11" spans="1:15" ht="31.5" customHeight="1">
      <c r="A11" s="369"/>
      <c r="B11" s="370"/>
      <c r="C11" s="31"/>
      <c r="D11" s="32" t="s">
        <v>14</v>
      </c>
      <c r="E11" s="12" t="s">
        <v>11</v>
      </c>
      <c r="F11" s="9">
        <v>180000</v>
      </c>
      <c r="G11" s="10" t="s">
        <v>7</v>
      </c>
      <c r="H11" s="14" t="s">
        <v>6</v>
      </c>
      <c r="I11" s="13">
        <v>10</v>
      </c>
      <c r="J11" s="10" t="s">
        <v>12</v>
      </c>
      <c r="K11" s="10" t="s">
        <v>6</v>
      </c>
      <c r="L11" s="13">
        <v>20</v>
      </c>
      <c r="M11" s="10" t="s">
        <v>9</v>
      </c>
      <c r="N11" s="11">
        <f t="shared" si="0"/>
        <v>36000000</v>
      </c>
      <c r="O11" s="11"/>
    </row>
    <row r="12" spans="1:15" ht="31.5" customHeight="1">
      <c r="A12" s="369"/>
      <c r="B12" s="370"/>
      <c r="C12" s="31"/>
      <c r="D12" s="32" t="s">
        <v>14</v>
      </c>
      <c r="E12" s="12" t="s">
        <v>184</v>
      </c>
      <c r="F12" s="9">
        <v>30000</v>
      </c>
      <c r="G12" s="10" t="s">
        <v>7</v>
      </c>
      <c r="H12" s="14" t="s">
        <v>6</v>
      </c>
      <c r="I12" s="13">
        <v>15</v>
      </c>
      <c r="J12" s="10" t="s">
        <v>12</v>
      </c>
      <c r="K12" s="10" t="s">
        <v>6</v>
      </c>
      <c r="L12" s="13">
        <v>20</v>
      </c>
      <c r="M12" s="10" t="s">
        <v>9</v>
      </c>
      <c r="N12" s="11">
        <f t="shared" si="0"/>
        <v>9000000</v>
      </c>
      <c r="O12" s="11"/>
    </row>
    <row r="13" spans="1:15" ht="31.5" customHeight="1">
      <c r="A13" s="369"/>
      <c r="B13" s="370"/>
      <c r="C13" s="31"/>
      <c r="D13" s="32" t="s">
        <v>181</v>
      </c>
      <c r="E13" s="12" t="s">
        <v>13</v>
      </c>
      <c r="F13" s="9">
        <v>200000</v>
      </c>
      <c r="G13" s="10" t="s">
        <v>7</v>
      </c>
      <c r="H13" s="10" t="s">
        <v>4</v>
      </c>
      <c r="I13" s="13">
        <v>5</v>
      </c>
      <c r="J13" s="10" t="s">
        <v>12</v>
      </c>
      <c r="K13" s="10" t="s">
        <v>6</v>
      </c>
      <c r="L13" s="13">
        <v>1</v>
      </c>
      <c r="M13" s="10" t="s">
        <v>9</v>
      </c>
      <c r="N13" s="11">
        <f t="shared" ref="N13:N14" si="4">F13*I13*L13</f>
        <v>1000000</v>
      </c>
      <c r="O13" s="11"/>
    </row>
    <row r="14" spans="1:15" ht="31.5" customHeight="1">
      <c r="A14" s="369"/>
      <c r="B14" s="370"/>
      <c r="C14" s="54" t="s">
        <v>182</v>
      </c>
      <c r="D14" s="32" t="s">
        <v>183</v>
      </c>
      <c r="E14" s="12" t="s">
        <v>15</v>
      </c>
      <c r="F14" s="9">
        <v>40000</v>
      </c>
      <c r="G14" s="10" t="s">
        <v>7</v>
      </c>
      <c r="H14" s="14" t="s">
        <v>6</v>
      </c>
      <c r="I14" s="13">
        <v>1</v>
      </c>
      <c r="J14" s="10" t="s">
        <v>12</v>
      </c>
      <c r="K14" s="10" t="s">
        <v>6</v>
      </c>
      <c r="L14" s="13">
        <v>20</v>
      </c>
      <c r="M14" s="10" t="s">
        <v>9</v>
      </c>
      <c r="N14" s="11">
        <f t="shared" si="4"/>
        <v>800000</v>
      </c>
      <c r="O14" s="11"/>
    </row>
    <row r="15" spans="1:15" ht="31.5" customHeight="1">
      <c r="A15" s="369"/>
      <c r="B15" s="370"/>
      <c r="C15" s="33" t="s">
        <v>173</v>
      </c>
      <c r="D15" s="32" t="s">
        <v>185</v>
      </c>
      <c r="E15" s="12" t="s">
        <v>186</v>
      </c>
      <c r="F15" s="9">
        <v>10000</v>
      </c>
      <c r="G15" s="10" t="s">
        <v>7</v>
      </c>
      <c r="H15" s="14" t="s">
        <v>6</v>
      </c>
      <c r="I15" s="13">
        <v>20</v>
      </c>
      <c r="J15" s="10" t="s">
        <v>12</v>
      </c>
      <c r="K15" s="10" t="s">
        <v>6</v>
      </c>
      <c r="L15" s="13">
        <v>20</v>
      </c>
      <c r="M15" s="10" t="s">
        <v>9</v>
      </c>
      <c r="N15" s="11">
        <f t="shared" ref="N15" si="5">F15*I15*L15</f>
        <v>4000000</v>
      </c>
      <c r="O15" s="11"/>
    </row>
    <row r="16" spans="1:15" ht="31.5" customHeight="1">
      <c r="A16" s="369"/>
      <c r="B16" s="370"/>
      <c r="C16" s="54" t="s">
        <v>174</v>
      </c>
      <c r="D16" s="32" t="s">
        <v>16</v>
      </c>
      <c r="E16" s="12" t="s">
        <v>114</v>
      </c>
      <c r="F16" s="9">
        <v>2000</v>
      </c>
      <c r="G16" s="10" t="s">
        <v>7</v>
      </c>
      <c r="H16" s="14" t="s">
        <v>6</v>
      </c>
      <c r="I16" s="13">
        <v>20</v>
      </c>
      <c r="J16" s="10" t="s">
        <v>12</v>
      </c>
      <c r="K16" s="10" t="s">
        <v>6</v>
      </c>
      <c r="L16" s="13">
        <v>15</v>
      </c>
      <c r="M16" s="10" t="s">
        <v>9</v>
      </c>
      <c r="N16" s="11">
        <f t="shared" ref="N16" si="6">F16*I16*L16</f>
        <v>600000</v>
      </c>
      <c r="O16" s="11"/>
    </row>
    <row r="17" spans="1:21" ht="31.5" customHeight="1">
      <c r="A17" s="369"/>
      <c r="B17" s="370"/>
      <c r="C17" s="33" t="s">
        <v>187</v>
      </c>
      <c r="D17" s="32" t="s">
        <v>188</v>
      </c>
      <c r="E17" s="12" t="s">
        <v>189</v>
      </c>
      <c r="F17" s="9">
        <v>30000</v>
      </c>
      <c r="G17" s="10" t="s">
        <v>7</v>
      </c>
      <c r="H17" s="14" t="s">
        <v>6</v>
      </c>
      <c r="I17" s="13">
        <v>60</v>
      </c>
      <c r="J17" s="10" t="s">
        <v>8</v>
      </c>
      <c r="K17" s="10" t="s">
        <v>6</v>
      </c>
      <c r="L17" s="13">
        <v>20</v>
      </c>
      <c r="M17" s="10" t="s">
        <v>9</v>
      </c>
      <c r="N17" s="11">
        <f t="shared" si="0"/>
        <v>36000000</v>
      </c>
      <c r="O17" s="11"/>
    </row>
    <row r="18" spans="1:21" ht="31.5" customHeight="1">
      <c r="A18" s="369"/>
      <c r="B18" s="370"/>
      <c r="C18" s="33" t="s">
        <v>175</v>
      </c>
      <c r="D18" s="32" t="s">
        <v>205</v>
      </c>
      <c r="E18" s="12" t="s">
        <v>206</v>
      </c>
      <c r="F18" s="9">
        <v>80000</v>
      </c>
      <c r="G18" s="10" t="s">
        <v>7</v>
      </c>
      <c r="H18" s="14" t="s">
        <v>6</v>
      </c>
      <c r="I18" s="13">
        <v>1</v>
      </c>
      <c r="J18" s="10" t="s">
        <v>8</v>
      </c>
      <c r="K18" s="10" t="s">
        <v>6</v>
      </c>
      <c r="L18" s="13">
        <v>10</v>
      </c>
      <c r="M18" s="10" t="s">
        <v>9</v>
      </c>
      <c r="N18" s="11">
        <f t="shared" si="0"/>
        <v>800000</v>
      </c>
      <c r="O18" s="11"/>
    </row>
    <row r="19" spans="1:21">
      <c r="A19" s="371" t="s">
        <v>151</v>
      </c>
      <c r="B19" s="372"/>
      <c r="C19" s="372"/>
      <c r="D19" s="372"/>
      <c r="E19" s="372"/>
      <c r="F19" s="372"/>
      <c r="G19" s="372"/>
      <c r="H19" s="372"/>
      <c r="I19" s="372"/>
      <c r="J19" s="372"/>
      <c r="K19" s="372"/>
      <c r="L19" s="372"/>
      <c r="M19" s="372"/>
      <c r="N19" s="46">
        <f>SUM(N5:N18)</f>
        <v>195800000</v>
      </c>
      <c r="O19" s="52"/>
    </row>
    <row r="20" spans="1:21" ht="18" thickBot="1">
      <c r="A20" s="6"/>
      <c r="B20" s="6"/>
      <c r="C20" s="6"/>
      <c r="D20" s="6"/>
      <c r="E20" s="6"/>
      <c r="F20" s="6"/>
      <c r="G20" s="6"/>
      <c r="H20" s="6"/>
      <c r="I20" s="6"/>
      <c r="J20" s="6"/>
      <c r="K20" s="6"/>
      <c r="L20" s="6"/>
      <c r="M20" s="6"/>
      <c r="N20" s="6"/>
      <c r="O20" s="6"/>
    </row>
    <row r="21" spans="1:21" ht="18.600000000000001" thickTop="1" thickBot="1">
      <c r="A21" s="357" t="s">
        <v>45</v>
      </c>
      <c r="B21" s="358"/>
      <c r="C21" s="358"/>
      <c r="D21" s="358"/>
      <c r="E21" s="359"/>
      <c r="U21" t="s">
        <v>46</v>
      </c>
    </row>
    <row r="22" spans="1:21" ht="30" customHeight="1">
      <c r="A22" s="360" t="s">
        <v>208</v>
      </c>
      <c r="B22" s="361"/>
      <c r="C22" s="361"/>
      <c r="D22" s="361"/>
      <c r="E22" s="361"/>
      <c r="F22" s="361"/>
      <c r="G22" s="361"/>
      <c r="H22" s="361"/>
      <c r="I22" s="361"/>
      <c r="J22" s="361"/>
      <c r="K22" s="361"/>
      <c r="L22" s="361"/>
      <c r="M22" s="361"/>
      <c r="N22" s="361"/>
      <c r="O22" s="362"/>
    </row>
    <row r="23" spans="1:21" ht="30" customHeight="1">
      <c r="A23" s="363"/>
      <c r="B23" s="364"/>
      <c r="C23" s="364"/>
      <c r="D23" s="364"/>
      <c r="E23" s="364"/>
      <c r="F23" s="364"/>
      <c r="G23" s="364"/>
      <c r="H23" s="364"/>
      <c r="I23" s="364"/>
      <c r="J23" s="364"/>
      <c r="K23" s="364"/>
      <c r="L23" s="364"/>
      <c r="M23" s="364"/>
      <c r="N23" s="364"/>
      <c r="O23" s="365"/>
    </row>
    <row r="24" spans="1:21" ht="30" customHeight="1">
      <c r="A24" s="363"/>
      <c r="B24" s="364"/>
      <c r="C24" s="364"/>
      <c r="D24" s="364"/>
      <c r="E24" s="364"/>
      <c r="F24" s="364"/>
      <c r="G24" s="364"/>
      <c r="H24" s="364"/>
      <c r="I24" s="364"/>
      <c r="J24" s="364"/>
      <c r="K24" s="364"/>
      <c r="L24" s="364"/>
      <c r="M24" s="364"/>
      <c r="N24" s="364"/>
      <c r="O24" s="365"/>
    </row>
    <row r="25" spans="1:21" ht="30" customHeight="1">
      <c r="A25" s="363"/>
      <c r="B25" s="364"/>
      <c r="C25" s="364"/>
      <c r="D25" s="364"/>
      <c r="E25" s="364"/>
      <c r="F25" s="364"/>
      <c r="G25" s="364"/>
      <c r="H25" s="364"/>
      <c r="I25" s="364"/>
      <c r="J25" s="364"/>
      <c r="K25" s="364"/>
      <c r="L25" s="364"/>
      <c r="M25" s="364"/>
      <c r="N25" s="364"/>
      <c r="O25" s="365"/>
      <c r="T25" t="s">
        <v>190</v>
      </c>
    </row>
    <row r="26" spans="1:21" ht="30" customHeight="1">
      <c r="A26" s="363"/>
      <c r="B26" s="364"/>
      <c r="C26" s="364"/>
      <c r="D26" s="364"/>
      <c r="E26" s="364"/>
      <c r="F26" s="364"/>
      <c r="G26" s="364"/>
      <c r="H26" s="364"/>
      <c r="I26" s="364"/>
      <c r="J26" s="364"/>
      <c r="K26" s="364"/>
      <c r="L26" s="364"/>
      <c r="M26" s="364"/>
      <c r="N26" s="364"/>
      <c r="O26" s="365"/>
    </row>
    <row r="27" spans="1:21" ht="30" customHeight="1">
      <c r="A27" s="363"/>
      <c r="B27" s="364"/>
      <c r="C27" s="364"/>
      <c r="D27" s="364"/>
      <c r="E27" s="364"/>
      <c r="F27" s="364"/>
      <c r="G27" s="364"/>
      <c r="H27" s="364"/>
      <c r="I27" s="364"/>
      <c r="J27" s="364"/>
      <c r="K27" s="364"/>
      <c r="L27" s="364"/>
      <c r="M27" s="364"/>
      <c r="N27" s="364"/>
      <c r="O27" s="365"/>
    </row>
    <row r="28" spans="1:21" ht="30" customHeight="1">
      <c r="A28" s="363"/>
      <c r="B28" s="364"/>
      <c r="C28" s="364"/>
      <c r="D28" s="364"/>
      <c r="E28" s="364"/>
      <c r="F28" s="364"/>
      <c r="G28" s="364"/>
      <c r="H28" s="364"/>
      <c r="I28" s="364"/>
      <c r="J28" s="364"/>
      <c r="K28" s="364"/>
      <c r="L28" s="364"/>
      <c r="M28" s="364"/>
      <c r="N28" s="364"/>
      <c r="O28" s="365"/>
    </row>
    <row r="29" spans="1:21" ht="30" customHeight="1" thickBot="1">
      <c r="A29" s="366"/>
      <c r="B29" s="367"/>
      <c r="C29" s="367"/>
      <c r="D29" s="367"/>
      <c r="E29" s="367"/>
      <c r="F29" s="367"/>
      <c r="G29" s="367"/>
      <c r="H29" s="367"/>
      <c r="I29" s="367"/>
      <c r="J29" s="367"/>
      <c r="K29" s="367"/>
      <c r="L29" s="367"/>
      <c r="M29" s="367"/>
      <c r="N29" s="367"/>
      <c r="O29" s="368"/>
    </row>
  </sheetData>
  <mergeCells count="14">
    <mergeCell ref="A21:E21"/>
    <mergeCell ref="A22:O29"/>
    <mergeCell ref="A5:A18"/>
    <mergeCell ref="B5:B18"/>
    <mergeCell ref="A19:M19"/>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U39"/>
  <sheetViews>
    <sheetView zoomScaleNormal="100" zoomScaleSheetLayoutView="85" workbookViewId="0">
      <selection activeCell="F17" sqref="F17"/>
    </sheetView>
  </sheetViews>
  <sheetFormatPr defaultColWidth="8.69921875" defaultRowHeight="17.399999999999999"/>
  <cols>
    <col min="1" max="1" width="8.09765625" bestFit="1" customWidth="1"/>
    <col min="2" max="2" width="11.09765625" customWidth="1"/>
    <col min="3" max="3" width="24.3984375" customWidth="1"/>
    <col min="4" max="4" width="25.69921875" bestFit="1" customWidth="1"/>
    <col min="5" max="5" width="23.09765625" bestFit="1" customWidth="1"/>
    <col min="6" max="6" width="19.69921875" bestFit="1" customWidth="1"/>
    <col min="7" max="7" width="5.3984375" bestFit="1" customWidth="1"/>
    <col min="8" max="8" width="4.69921875" bestFit="1" customWidth="1"/>
    <col min="9" max="9" width="7.3984375" bestFit="1" customWidth="1"/>
    <col min="10" max="10" width="8.69921875" bestFit="1" customWidth="1"/>
    <col min="11" max="11" width="4.69921875" bestFit="1" customWidth="1"/>
    <col min="12" max="12" width="6.69921875" bestFit="1" customWidth="1"/>
    <col min="13" max="13" width="5.3984375" bestFit="1" customWidth="1"/>
    <col min="14" max="14" width="18.59765625" bestFit="1" customWidth="1"/>
    <col min="15" max="15" width="9.59765625" bestFit="1" customWidth="1"/>
    <col min="19" max="21" width="14.3984375" customWidth="1"/>
  </cols>
  <sheetData>
    <row r="1" spans="1:21" ht="25.8">
      <c r="A1" s="346" t="s">
        <v>152</v>
      </c>
      <c r="B1" s="346"/>
      <c r="C1" s="346"/>
      <c r="D1" s="346"/>
      <c r="E1" s="346"/>
      <c r="F1" s="346"/>
      <c r="G1" s="346"/>
      <c r="H1" s="346"/>
      <c r="I1" s="346"/>
      <c r="J1" s="346"/>
      <c r="K1" s="346"/>
      <c r="L1" s="346"/>
      <c r="M1" s="346"/>
      <c r="N1" s="346"/>
      <c r="O1" s="346"/>
    </row>
    <row r="2" spans="1:21" ht="18" thickBot="1">
      <c r="A2" s="4"/>
      <c r="B2" s="4"/>
      <c r="C2" s="347"/>
      <c r="D2" s="347"/>
      <c r="E2" s="347"/>
      <c r="F2" s="347"/>
      <c r="G2" s="347"/>
      <c r="H2" s="347"/>
      <c r="I2" s="347"/>
      <c r="J2" s="347"/>
      <c r="K2" s="347"/>
      <c r="L2" s="347"/>
      <c r="M2" s="347"/>
      <c r="N2" s="347"/>
      <c r="O2" s="347"/>
    </row>
    <row r="3" spans="1:21">
      <c r="A3" s="348" t="s">
        <v>26</v>
      </c>
      <c r="B3" s="350" t="s">
        <v>27</v>
      </c>
      <c r="C3" s="350" t="s">
        <v>28</v>
      </c>
      <c r="D3" s="350" t="s">
        <v>176</v>
      </c>
      <c r="E3" s="352" t="s">
        <v>1</v>
      </c>
      <c r="F3" s="352"/>
      <c r="G3" s="352"/>
      <c r="H3" s="352"/>
      <c r="I3" s="352"/>
      <c r="J3" s="352"/>
      <c r="K3" s="352"/>
      <c r="L3" s="352"/>
      <c r="M3" s="352"/>
      <c r="N3" s="353" t="s">
        <v>2</v>
      </c>
      <c r="O3" s="373" t="s">
        <v>3</v>
      </c>
    </row>
    <row r="4" spans="1:21">
      <c r="A4" s="349"/>
      <c r="B4" s="351"/>
      <c r="C4" s="351"/>
      <c r="D4" s="351"/>
      <c r="E4" s="16" t="s">
        <v>41</v>
      </c>
      <c r="F4" s="16" t="s">
        <v>47</v>
      </c>
      <c r="G4" s="16" t="s">
        <v>42</v>
      </c>
      <c r="H4" s="16" t="s">
        <v>6</v>
      </c>
      <c r="I4" s="16" t="s">
        <v>48</v>
      </c>
      <c r="J4" s="16" t="s">
        <v>42</v>
      </c>
      <c r="K4" s="16" t="s">
        <v>6</v>
      </c>
      <c r="L4" s="16" t="s">
        <v>49</v>
      </c>
      <c r="M4" s="16" t="s">
        <v>42</v>
      </c>
      <c r="N4" s="354"/>
      <c r="O4" s="374"/>
    </row>
    <row r="5" spans="1:21">
      <c r="A5" s="387" t="s">
        <v>130</v>
      </c>
      <c r="B5" s="390" t="s">
        <v>160</v>
      </c>
      <c r="C5" s="391"/>
      <c r="D5" s="391"/>
      <c r="E5" s="391"/>
      <c r="F5" s="391"/>
      <c r="G5" s="391"/>
      <c r="H5" s="391"/>
      <c r="I5" s="391"/>
      <c r="J5" s="391"/>
      <c r="K5" s="391"/>
      <c r="L5" s="391"/>
      <c r="M5" s="392"/>
      <c r="N5" s="78">
        <v>814660000</v>
      </c>
      <c r="O5" s="236"/>
    </row>
    <row r="6" spans="1:21" ht="16.5" customHeight="1">
      <c r="A6" s="388"/>
      <c r="B6" s="386" t="s">
        <v>53</v>
      </c>
      <c r="C6" s="237" t="s">
        <v>193</v>
      </c>
      <c r="D6" s="65" t="s">
        <v>195</v>
      </c>
      <c r="E6" s="67" t="s">
        <v>257</v>
      </c>
      <c r="F6" s="64"/>
      <c r="G6" s="65" t="s">
        <v>7</v>
      </c>
      <c r="H6" s="65" t="s">
        <v>4</v>
      </c>
      <c r="I6" s="72">
        <v>1</v>
      </c>
      <c r="J6" s="65" t="s">
        <v>21</v>
      </c>
      <c r="K6" s="65" t="s">
        <v>6</v>
      </c>
      <c r="L6" s="68">
        <v>8</v>
      </c>
      <c r="M6" s="65" t="s">
        <v>9</v>
      </c>
      <c r="N6" s="66">
        <f>F6*I6*L6</f>
        <v>0</v>
      </c>
      <c r="O6" s="383">
        <f>N19/N20</f>
        <v>0</v>
      </c>
    </row>
    <row r="7" spans="1:21" ht="16.5" customHeight="1">
      <c r="A7" s="388"/>
      <c r="B7" s="386"/>
      <c r="C7" s="237"/>
      <c r="D7" s="65"/>
      <c r="E7" s="67" t="s">
        <v>258</v>
      </c>
      <c r="F7" s="64"/>
      <c r="G7" s="65" t="s">
        <v>7</v>
      </c>
      <c r="H7" s="65" t="s">
        <v>4</v>
      </c>
      <c r="I7" s="72">
        <v>1</v>
      </c>
      <c r="J7" s="65" t="s">
        <v>21</v>
      </c>
      <c r="K7" s="65" t="s">
        <v>6</v>
      </c>
      <c r="L7" s="68">
        <v>8</v>
      </c>
      <c r="M7" s="65" t="s">
        <v>18</v>
      </c>
      <c r="N7" s="66">
        <f t="shared" ref="N7:N11" si="0">F7*I7*L7</f>
        <v>0</v>
      </c>
      <c r="O7" s="383"/>
    </row>
    <row r="8" spans="1:21" ht="16.5" customHeight="1">
      <c r="A8" s="388"/>
      <c r="B8" s="386"/>
      <c r="C8" s="237"/>
      <c r="D8" s="65"/>
      <c r="E8" s="67" t="s">
        <v>259</v>
      </c>
      <c r="F8" s="64"/>
      <c r="G8" s="65" t="s">
        <v>7</v>
      </c>
      <c r="H8" s="65" t="s">
        <v>4</v>
      </c>
      <c r="I8" s="72">
        <v>1</v>
      </c>
      <c r="J8" s="65" t="s">
        <v>21</v>
      </c>
      <c r="K8" s="65" t="s">
        <v>6</v>
      </c>
      <c r="L8" s="68">
        <v>8</v>
      </c>
      <c r="M8" s="65" t="s">
        <v>18</v>
      </c>
      <c r="N8" s="66">
        <f t="shared" si="0"/>
        <v>0</v>
      </c>
      <c r="O8" s="383"/>
    </row>
    <row r="9" spans="1:21" ht="16.5" customHeight="1">
      <c r="A9" s="388"/>
      <c r="B9" s="386"/>
      <c r="C9" s="237"/>
      <c r="D9" s="65"/>
      <c r="E9" s="67" t="s">
        <v>260</v>
      </c>
      <c r="F9" s="64"/>
      <c r="G9" s="65" t="s">
        <v>7</v>
      </c>
      <c r="H9" s="65" t="s">
        <v>4</v>
      </c>
      <c r="I9" s="72">
        <v>1</v>
      </c>
      <c r="J9" s="65" t="s">
        <v>21</v>
      </c>
      <c r="K9" s="65" t="s">
        <v>6</v>
      </c>
      <c r="L9" s="68">
        <v>8</v>
      </c>
      <c r="M9" s="65" t="s">
        <v>18</v>
      </c>
      <c r="N9" s="66">
        <f t="shared" si="0"/>
        <v>0</v>
      </c>
      <c r="O9" s="383"/>
    </row>
    <row r="10" spans="1:21" ht="16.5" customHeight="1">
      <c r="A10" s="388"/>
      <c r="B10" s="386"/>
      <c r="C10" s="237"/>
      <c r="D10" s="65"/>
      <c r="E10" s="67" t="s">
        <v>261</v>
      </c>
      <c r="F10" s="64"/>
      <c r="G10" s="65" t="s">
        <v>7</v>
      </c>
      <c r="H10" s="65" t="s">
        <v>4</v>
      </c>
      <c r="I10" s="72">
        <v>0.5</v>
      </c>
      <c r="J10" s="65" t="s">
        <v>21</v>
      </c>
      <c r="K10" s="65" t="s">
        <v>6</v>
      </c>
      <c r="L10" s="68">
        <v>8</v>
      </c>
      <c r="M10" s="65" t="s">
        <v>18</v>
      </c>
      <c r="N10" s="66">
        <f t="shared" ref="N10" si="1">F10*I10*L10</f>
        <v>0</v>
      </c>
      <c r="O10" s="383"/>
    </row>
    <row r="11" spans="1:21">
      <c r="A11" s="388"/>
      <c r="B11" s="386"/>
      <c r="C11" s="238"/>
      <c r="D11" s="65"/>
      <c r="E11" s="67" t="s">
        <v>261</v>
      </c>
      <c r="F11" s="64"/>
      <c r="G11" s="65" t="s">
        <v>7</v>
      </c>
      <c r="H11" s="65" t="s">
        <v>4</v>
      </c>
      <c r="I11" s="72">
        <v>0.5</v>
      </c>
      <c r="J11" s="65" t="s">
        <v>21</v>
      </c>
      <c r="K11" s="65" t="s">
        <v>6</v>
      </c>
      <c r="L11" s="68">
        <v>8</v>
      </c>
      <c r="M11" s="65" t="s">
        <v>18</v>
      </c>
      <c r="N11" s="66">
        <f t="shared" si="0"/>
        <v>0</v>
      </c>
      <c r="O11" s="383"/>
    </row>
    <row r="12" spans="1:21">
      <c r="A12" s="388"/>
      <c r="B12" s="386"/>
      <c r="C12" s="238"/>
      <c r="D12" s="65" t="s">
        <v>194</v>
      </c>
      <c r="E12" s="67" t="s">
        <v>20</v>
      </c>
      <c r="F12" s="64"/>
      <c r="G12" s="65" t="s">
        <v>7</v>
      </c>
      <c r="H12" s="65" t="s">
        <v>4</v>
      </c>
      <c r="I12" s="68">
        <v>1</v>
      </c>
      <c r="J12" s="65" t="s">
        <v>12</v>
      </c>
      <c r="K12" s="65" t="s">
        <v>6</v>
      </c>
      <c r="L12" s="68">
        <v>8</v>
      </c>
      <c r="M12" s="65" t="s">
        <v>18</v>
      </c>
      <c r="N12" s="66">
        <f>F12*I12*L12</f>
        <v>0</v>
      </c>
      <c r="O12" s="383"/>
      <c r="T12" s="79"/>
      <c r="U12" s="79"/>
    </row>
    <row r="13" spans="1:21">
      <c r="A13" s="388"/>
      <c r="B13" s="386"/>
      <c r="C13" s="238"/>
      <c r="D13" s="65"/>
      <c r="E13" s="67" t="s">
        <v>20</v>
      </c>
      <c r="F13" s="64"/>
      <c r="G13" s="65" t="s">
        <v>7</v>
      </c>
      <c r="H13" s="65" t="s">
        <v>4</v>
      </c>
      <c r="I13" s="68">
        <v>1</v>
      </c>
      <c r="J13" s="65" t="s">
        <v>12</v>
      </c>
      <c r="K13" s="65" t="s">
        <v>6</v>
      </c>
      <c r="L13" s="68">
        <v>8</v>
      </c>
      <c r="M13" s="65" t="s">
        <v>18</v>
      </c>
      <c r="N13" s="66">
        <f>F13*I13*L13</f>
        <v>0</v>
      </c>
      <c r="O13" s="383"/>
      <c r="T13" s="79"/>
      <c r="U13" s="79"/>
    </row>
    <row r="14" spans="1:21">
      <c r="A14" s="388"/>
      <c r="B14" s="386"/>
      <c r="C14" s="237" t="s">
        <v>173</v>
      </c>
      <c r="D14" s="65" t="s">
        <v>196</v>
      </c>
      <c r="E14" s="67" t="s">
        <v>0</v>
      </c>
      <c r="F14" s="64"/>
      <c r="G14" s="68" t="s">
        <v>7</v>
      </c>
      <c r="H14" s="68" t="s">
        <v>6</v>
      </c>
      <c r="I14" s="68">
        <v>20</v>
      </c>
      <c r="J14" s="68" t="s">
        <v>12</v>
      </c>
      <c r="K14" s="68" t="s">
        <v>6</v>
      </c>
      <c r="L14" s="68">
        <v>80</v>
      </c>
      <c r="M14" s="68" t="s">
        <v>9</v>
      </c>
      <c r="N14" s="66">
        <f>F14*I14*L14</f>
        <v>0</v>
      </c>
      <c r="O14" s="383"/>
      <c r="T14" s="79"/>
      <c r="U14" s="79"/>
    </row>
    <row r="15" spans="1:21">
      <c r="A15" s="388"/>
      <c r="B15" s="386"/>
      <c r="C15" s="237" t="s">
        <v>201</v>
      </c>
      <c r="D15" s="65" t="s">
        <v>202</v>
      </c>
      <c r="E15" s="71" t="s">
        <v>203</v>
      </c>
      <c r="F15" s="64"/>
      <c r="G15" s="68" t="s">
        <v>7</v>
      </c>
      <c r="H15" s="68" t="s">
        <v>6</v>
      </c>
      <c r="I15" s="68">
        <v>4</v>
      </c>
      <c r="J15" s="68" t="s">
        <v>12</v>
      </c>
      <c r="K15" s="68" t="s">
        <v>6</v>
      </c>
      <c r="L15" s="68">
        <v>20</v>
      </c>
      <c r="M15" s="68" t="s">
        <v>9</v>
      </c>
      <c r="N15" s="66">
        <f>F15*I15*L15</f>
        <v>0</v>
      </c>
      <c r="O15" s="383"/>
      <c r="T15" s="79"/>
      <c r="U15" s="79"/>
    </row>
    <row r="16" spans="1:21" ht="28.8">
      <c r="A16" s="388"/>
      <c r="B16" s="386"/>
      <c r="C16" s="239" t="s">
        <v>171</v>
      </c>
      <c r="D16" s="65" t="s">
        <v>197</v>
      </c>
      <c r="E16" s="71" t="s">
        <v>262</v>
      </c>
      <c r="F16" s="64"/>
      <c r="G16" s="68" t="s">
        <v>7</v>
      </c>
      <c r="H16" s="65" t="s">
        <v>4</v>
      </c>
      <c r="I16" s="68">
        <v>10</v>
      </c>
      <c r="J16" s="68" t="s">
        <v>12</v>
      </c>
      <c r="K16" s="65" t="s">
        <v>6</v>
      </c>
      <c r="L16" s="68">
        <v>6</v>
      </c>
      <c r="M16" s="68" t="s">
        <v>9</v>
      </c>
      <c r="N16" s="66">
        <f t="shared" ref="N16" si="2">F16*I16*L16</f>
        <v>0</v>
      </c>
      <c r="O16" s="383"/>
    </row>
    <row r="17" spans="1:21" ht="28.8">
      <c r="A17" s="388"/>
      <c r="B17" s="386"/>
      <c r="C17" s="240" t="s">
        <v>174</v>
      </c>
      <c r="D17" s="65" t="s">
        <v>108</v>
      </c>
      <c r="E17" s="71" t="s">
        <v>108</v>
      </c>
      <c r="F17" s="64"/>
      <c r="G17" s="68" t="s">
        <v>7</v>
      </c>
      <c r="H17" s="65" t="s">
        <v>4</v>
      </c>
      <c r="I17" s="68">
        <v>1</v>
      </c>
      <c r="J17" s="68" t="s">
        <v>22</v>
      </c>
      <c r="K17" s="65" t="s">
        <v>6</v>
      </c>
      <c r="L17" s="68">
        <v>1</v>
      </c>
      <c r="M17" s="68" t="s">
        <v>9</v>
      </c>
      <c r="N17" s="66">
        <f t="shared" ref="N17" si="3">F17*I17*L17</f>
        <v>0</v>
      </c>
      <c r="O17" s="383"/>
    </row>
    <row r="18" spans="1:21">
      <c r="A18" s="388"/>
      <c r="B18" s="386"/>
      <c r="C18" s="237" t="s">
        <v>198</v>
      </c>
      <c r="D18" s="65" t="s">
        <v>199</v>
      </c>
      <c r="E18" s="71" t="s">
        <v>200</v>
      </c>
      <c r="F18" s="64"/>
      <c r="G18" s="68" t="s">
        <v>7</v>
      </c>
      <c r="H18" s="68"/>
      <c r="I18" s="68"/>
      <c r="J18" s="68"/>
      <c r="K18" s="68" t="s">
        <v>6</v>
      </c>
      <c r="L18" s="68">
        <v>30</v>
      </c>
      <c r="M18" s="68" t="s">
        <v>9</v>
      </c>
      <c r="N18" s="66">
        <f>F18*L18</f>
        <v>0</v>
      </c>
      <c r="O18" s="383"/>
    </row>
    <row r="19" spans="1:21">
      <c r="A19" s="389"/>
      <c r="B19" s="390" t="s">
        <v>161</v>
      </c>
      <c r="C19" s="391"/>
      <c r="D19" s="391"/>
      <c r="E19" s="391"/>
      <c r="F19" s="391"/>
      <c r="G19" s="391"/>
      <c r="H19" s="391"/>
      <c r="I19" s="391"/>
      <c r="J19" s="391"/>
      <c r="K19" s="391"/>
      <c r="L19" s="391"/>
      <c r="M19" s="392"/>
      <c r="N19" s="234">
        <f>SUM(N6:N18)</f>
        <v>0</v>
      </c>
      <c r="O19" s="241"/>
    </row>
    <row r="20" spans="1:21">
      <c r="A20" s="393" t="s">
        <v>162</v>
      </c>
      <c r="B20" s="394"/>
      <c r="C20" s="394"/>
      <c r="D20" s="394"/>
      <c r="E20" s="394"/>
      <c r="F20" s="394"/>
      <c r="G20" s="394"/>
      <c r="H20" s="394"/>
      <c r="I20" s="394"/>
      <c r="J20" s="394"/>
      <c r="K20" s="394"/>
      <c r="L20" s="394"/>
      <c r="M20" s="395"/>
      <c r="N20" s="242">
        <f>N5+N19</f>
        <v>814660000</v>
      </c>
      <c r="O20" s="243"/>
    </row>
    <row r="21" spans="1:21">
      <c r="A21" s="387" t="s">
        <v>25</v>
      </c>
      <c r="B21" s="397" t="s">
        <v>25</v>
      </c>
      <c r="C21" s="237" t="s">
        <v>29</v>
      </c>
      <c r="D21" s="65" t="s">
        <v>30</v>
      </c>
      <c r="E21" s="75" t="s">
        <v>37</v>
      </c>
      <c r="F21" s="76"/>
      <c r="G21" s="75" t="s">
        <v>7</v>
      </c>
      <c r="H21" s="68" t="s">
        <v>6</v>
      </c>
      <c r="I21" s="75">
        <v>1</v>
      </c>
      <c r="J21" s="75" t="s">
        <v>12</v>
      </c>
      <c r="K21" s="68" t="s">
        <v>6</v>
      </c>
      <c r="L21" s="75">
        <v>8</v>
      </c>
      <c r="M21" s="75" t="s">
        <v>18</v>
      </c>
      <c r="N21" s="77">
        <f>F21*I21*L21</f>
        <v>0</v>
      </c>
      <c r="O21" s="383">
        <f>N27/N20</f>
        <v>0</v>
      </c>
    </row>
    <row r="22" spans="1:21">
      <c r="A22" s="388"/>
      <c r="B22" s="398"/>
      <c r="C22" s="20"/>
      <c r="D22" s="65"/>
      <c r="E22" s="75" t="s">
        <v>37</v>
      </c>
      <c r="F22" s="76"/>
      <c r="G22" s="75" t="s">
        <v>7</v>
      </c>
      <c r="H22" s="68" t="s">
        <v>6</v>
      </c>
      <c r="I22" s="75">
        <v>1</v>
      </c>
      <c r="J22" s="75" t="s">
        <v>12</v>
      </c>
      <c r="K22" s="68" t="s">
        <v>6</v>
      </c>
      <c r="L22" s="75">
        <v>8</v>
      </c>
      <c r="M22" s="75" t="s">
        <v>18</v>
      </c>
      <c r="N22" s="77">
        <f t="shared" ref="N22:N26" si="4">F22*I22*L22</f>
        <v>0</v>
      </c>
      <c r="O22" s="383"/>
    </row>
    <row r="23" spans="1:21">
      <c r="A23" s="388"/>
      <c r="B23" s="398"/>
      <c r="C23" s="237" t="s">
        <v>31</v>
      </c>
      <c r="D23" s="65" t="s">
        <v>263</v>
      </c>
      <c r="E23" s="75" t="s">
        <v>263</v>
      </c>
      <c r="F23" s="76"/>
      <c r="G23" s="75" t="s">
        <v>7</v>
      </c>
      <c r="H23" s="68" t="s">
        <v>6</v>
      </c>
      <c r="I23" s="75">
        <v>1</v>
      </c>
      <c r="J23" s="75" t="s">
        <v>22</v>
      </c>
      <c r="K23" s="68" t="s">
        <v>6</v>
      </c>
      <c r="L23" s="75">
        <v>8</v>
      </c>
      <c r="M23" s="75" t="s">
        <v>18</v>
      </c>
      <c r="N23" s="77">
        <f t="shared" si="4"/>
        <v>0</v>
      </c>
      <c r="O23" s="383"/>
    </row>
    <row r="24" spans="1:21">
      <c r="A24" s="388"/>
      <c r="B24" s="398"/>
      <c r="C24" s="244" t="s">
        <v>35</v>
      </c>
      <c r="D24" s="65" t="s">
        <v>32</v>
      </c>
      <c r="E24" s="75" t="s">
        <v>38</v>
      </c>
      <c r="F24" s="76"/>
      <c r="G24" s="75" t="s">
        <v>7</v>
      </c>
      <c r="H24" s="68" t="s">
        <v>6</v>
      </c>
      <c r="I24" s="75">
        <v>2</v>
      </c>
      <c r="J24" s="75" t="s">
        <v>8</v>
      </c>
      <c r="K24" s="68" t="s">
        <v>6</v>
      </c>
      <c r="L24" s="75">
        <v>2</v>
      </c>
      <c r="M24" s="75" t="s">
        <v>9</v>
      </c>
      <c r="N24" s="77">
        <f t="shared" si="4"/>
        <v>0</v>
      </c>
      <c r="O24" s="383"/>
    </row>
    <row r="25" spans="1:21">
      <c r="A25" s="388"/>
      <c r="B25" s="398"/>
      <c r="C25" s="238"/>
      <c r="D25" s="65" t="s">
        <v>33</v>
      </c>
      <c r="E25" s="75" t="s">
        <v>39</v>
      </c>
      <c r="F25" s="76"/>
      <c r="G25" s="75" t="s">
        <v>7</v>
      </c>
      <c r="H25" s="68" t="s">
        <v>6</v>
      </c>
      <c r="I25" s="75">
        <v>2</v>
      </c>
      <c r="J25" s="75" t="s">
        <v>36</v>
      </c>
      <c r="K25" s="68" t="s">
        <v>6</v>
      </c>
      <c r="L25" s="75">
        <v>2</v>
      </c>
      <c r="M25" s="75" t="s">
        <v>9</v>
      </c>
      <c r="N25" s="77">
        <f t="shared" si="4"/>
        <v>0</v>
      </c>
      <c r="O25" s="383"/>
    </row>
    <row r="26" spans="1:21">
      <c r="A26" s="389"/>
      <c r="B26" s="399"/>
      <c r="C26" s="238"/>
      <c r="D26" s="65" t="s">
        <v>34</v>
      </c>
      <c r="E26" s="75" t="s">
        <v>40</v>
      </c>
      <c r="F26" s="76"/>
      <c r="G26" s="75" t="s">
        <v>7</v>
      </c>
      <c r="H26" s="68" t="s">
        <v>6</v>
      </c>
      <c r="I26" s="75">
        <v>3</v>
      </c>
      <c r="J26" s="75" t="s">
        <v>22</v>
      </c>
      <c r="K26" s="68" t="s">
        <v>6</v>
      </c>
      <c r="L26" s="75">
        <v>4</v>
      </c>
      <c r="M26" s="75" t="s">
        <v>18</v>
      </c>
      <c r="N26" s="77">
        <f t="shared" si="4"/>
        <v>0</v>
      </c>
      <c r="O26" s="383"/>
    </row>
    <row r="27" spans="1:21">
      <c r="A27" s="396" t="s">
        <v>159</v>
      </c>
      <c r="B27" s="391"/>
      <c r="C27" s="391"/>
      <c r="D27" s="391"/>
      <c r="E27" s="391"/>
      <c r="F27" s="391"/>
      <c r="G27" s="391"/>
      <c r="H27" s="391"/>
      <c r="I27" s="391"/>
      <c r="J27" s="391"/>
      <c r="K27" s="391"/>
      <c r="L27" s="391"/>
      <c r="M27" s="392"/>
      <c r="N27" s="242">
        <f>SUM(N21:N26)</f>
        <v>0</v>
      </c>
      <c r="O27" s="243"/>
    </row>
    <row r="28" spans="1:21">
      <c r="A28" s="384" t="s">
        <v>207</v>
      </c>
      <c r="B28" s="385"/>
      <c r="C28" s="385"/>
      <c r="D28" s="385"/>
      <c r="E28" s="385"/>
      <c r="F28" s="385"/>
      <c r="G28" s="385"/>
      <c r="H28" s="385"/>
      <c r="I28" s="385"/>
      <c r="J28" s="385"/>
      <c r="K28" s="385"/>
      <c r="L28" s="385"/>
      <c r="M28" s="385"/>
      <c r="N28" s="245">
        <f>N20+N27</f>
        <v>814660000</v>
      </c>
      <c r="O28" s="246"/>
    </row>
    <row r="29" spans="1:21" ht="18" thickBot="1">
      <c r="A29" s="6"/>
      <c r="B29" s="6"/>
      <c r="C29" s="6"/>
      <c r="D29" s="6"/>
      <c r="E29" s="6"/>
      <c r="F29" s="6"/>
      <c r="G29" s="6"/>
      <c r="H29" s="6"/>
      <c r="I29" s="6"/>
      <c r="J29" s="6"/>
      <c r="K29" s="6"/>
      <c r="L29" s="6"/>
      <c r="M29" s="6"/>
      <c r="N29" s="6"/>
      <c r="O29" s="7"/>
    </row>
    <row r="30" spans="1:21" ht="18.600000000000001" thickTop="1" thickBot="1">
      <c r="A30" s="357" t="s">
        <v>45</v>
      </c>
      <c r="B30" s="358"/>
      <c r="C30" s="358"/>
      <c r="D30" s="358"/>
      <c r="E30" s="359"/>
      <c r="U30" t="s">
        <v>46</v>
      </c>
    </row>
    <row r="31" spans="1:21" ht="27.75" customHeight="1" thickTop="1">
      <c r="A31" s="375" t="s">
        <v>209</v>
      </c>
      <c r="B31" s="376"/>
      <c r="C31" s="376"/>
      <c r="D31" s="376"/>
      <c r="E31" s="376"/>
      <c r="F31" s="376"/>
      <c r="G31" s="376"/>
      <c r="H31" s="376"/>
      <c r="I31" s="376"/>
      <c r="J31" s="376"/>
      <c r="K31" s="376"/>
      <c r="L31" s="376"/>
      <c r="M31" s="376"/>
      <c r="N31" s="376"/>
      <c r="O31" s="377"/>
    </row>
    <row r="32" spans="1:21" ht="27.75" customHeight="1">
      <c r="A32" s="378"/>
      <c r="B32" s="364"/>
      <c r="C32" s="364"/>
      <c r="D32" s="364"/>
      <c r="E32" s="364"/>
      <c r="F32" s="364"/>
      <c r="G32" s="364"/>
      <c r="H32" s="364"/>
      <c r="I32" s="364"/>
      <c r="J32" s="364"/>
      <c r="K32" s="364"/>
      <c r="L32" s="364"/>
      <c r="M32" s="364"/>
      <c r="N32" s="364"/>
      <c r="O32" s="379"/>
    </row>
    <row r="33" spans="1:15" ht="27.75" customHeight="1">
      <c r="A33" s="378"/>
      <c r="B33" s="364"/>
      <c r="C33" s="364"/>
      <c r="D33" s="364"/>
      <c r="E33" s="364"/>
      <c r="F33" s="364"/>
      <c r="G33" s="364"/>
      <c r="H33" s="364"/>
      <c r="I33" s="364"/>
      <c r="J33" s="364"/>
      <c r="K33" s="364"/>
      <c r="L33" s="364"/>
      <c r="M33" s="364"/>
      <c r="N33" s="364"/>
      <c r="O33" s="379"/>
    </row>
    <row r="34" spans="1:15" ht="27.75" customHeight="1">
      <c r="A34" s="378"/>
      <c r="B34" s="364"/>
      <c r="C34" s="364"/>
      <c r="D34" s="364"/>
      <c r="E34" s="364"/>
      <c r="F34" s="364"/>
      <c r="G34" s="364"/>
      <c r="H34" s="364"/>
      <c r="I34" s="364"/>
      <c r="J34" s="364"/>
      <c r="K34" s="364"/>
      <c r="L34" s="364"/>
      <c r="M34" s="364"/>
      <c r="N34" s="364"/>
      <c r="O34" s="379"/>
    </row>
    <row r="35" spans="1:15" ht="27.75" customHeight="1">
      <c r="A35" s="378"/>
      <c r="B35" s="364"/>
      <c r="C35" s="364"/>
      <c r="D35" s="364"/>
      <c r="E35" s="364"/>
      <c r="F35" s="364"/>
      <c r="G35" s="364"/>
      <c r="H35" s="364"/>
      <c r="I35" s="364"/>
      <c r="J35" s="364"/>
      <c r="K35" s="364"/>
      <c r="L35" s="364"/>
      <c r="M35" s="364"/>
      <c r="N35" s="364"/>
      <c r="O35" s="379"/>
    </row>
    <row r="36" spans="1:15" ht="27.75" customHeight="1">
      <c r="A36" s="378"/>
      <c r="B36" s="364"/>
      <c r="C36" s="364"/>
      <c r="D36" s="364"/>
      <c r="E36" s="364"/>
      <c r="F36" s="364"/>
      <c r="G36" s="364"/>
      <c r="H36" s="364"/>
      <c r="I36" s="364"/>
      <c r="J36" s="364"/>
      <c r="K36" s="364"/>
      <c r="L36" s="364"/>
      <c r="M36" s="364"/>
      <c r="N36" s="364"/>
      <c r="O36" s="379"/>
    </row>
    <row r="37" spans="1:15" ht="27.75" customHeight="1">
      <c r="A37" s="378"/>
      <c r="B37" s="364"/>
      <c r="C37" s="364"/>
      <c r="D37" s="364"/>
      <c r="E37" s="364"/>
      <c r="F37" s="364"/>
      <c r="G37" s="364"/>
      <c r="H37" s="364"/>
      <c r="I37" s="364"/>
      <c r="J37" s="364"/>
      <c r="K37" s="364"/>
      <c r="L37" s="364"/>
      <c r="M37" s="364"/>
      <c r="N37" s="364"/>
      <c r="O37" s="379"/>
    </row>
    <row r="38" spans="1:15" ht="27.75" customHeight="1" thickBot="1">
      <c r="A38" s="380"/>
      <c r="B38" s="381"/>
      <c r="C38" s="381"/>
      <c r="D38" s="381"/>
      <c r="E38" s="381"/>
      <c r="F38" s="381"/>
      <c r="G38" s="381"/>
      <c r="H38" s="381"/>
      <c r="I38" s="381"/>
      <c r="J38" s="381"/>
      <c r="K38" s="381"/>
      <c r="L38" s="381"/>
      <c r="M38" s="381"/>
      <c r="N38" s="381"/>
      <c r="O38" s="382"/>
    </row>
    <row r="39" spans="1:15" ht="18" thickTop="1"/>
  </sheetData>
  <mergeCells count="22">
    <mergeCell ref="A31:O38"/>
    <mergeCell ref="O21:O26"/>
    <mergeCell ref="A28:M28"/>
    <mergeCell ref="A30:E30"/>
    <mergeCell ref="B6:B18"/>
    <mergeCell ref="O6:O18"/>
    <mergeCell ref="A5:A19"/>
    <mergeCell ref="B5:M5"/>
    <mergeCell ref="A20:M20"/>
    <mergeCell ref="B19:M19"/>
    <mergeCell ref="A27:M27"/>
    <mergeCell ref="A21:A26"/>
    <mergeCell ref="B21:B26"/>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7"/>
  <sheetViews>
    <sheetView view="pageBreakPreview" topLeftCell="D10" zoomScale="85" zoomScaleNormal="70" zoomScaleSheetLayoutView="85" workbookViewId="0">
      <selection activeCell="T15" sqref="T15"/>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8.09765625" bestFit="1" customWidth="1"/>
    <col min="10" max="10" width="8.69921875" bestFit="1" customWidth="1"/>
    <col min="11" max="11" width="4.69921875" bestFit="1" customWidth="1"/>
    <col min="12" max="12" width="9.69921875" customWidth="1"/>
    <col min="13" max="13" width="5.3984375" bestFit="1" customWidth="1"/>
    <col min="14" max="14" width="18.09765625" bestFit="1" customWidth="1"/>
    <col min="15" max="15" width="10" customWidth="1"/>
    <col min="17" max="17" width="9" style="79" bestFit="1" customWidth="1"/>
    <col min="18" max="18" width="12.59765625" style="79" bestFit="1" customWidth="1"/>
    <col min="19" max="19" width="8.796875" style="79" bestFit="1" customWidth="1"/>
    <col min="20" max="20" width="15.19921875" style="79" customWidth="1"/>
  </cols>
  <sheetData>
    <row r="1" spans="1:20" ht="25.8">
      <c r="A1" s="400" t="s">
        <v>1341</v>
      </c>
      <c r="B1" s="346"/>
      <c r="C1" s="346"/>
      <c r="D1" s="346"/>
      <c r="E1" s="346"/>
      <c r="F1" s="346"/>
      <c r="G1" s="346"/>
      <c r="H1" s="346"/>
      <c r="I1" s="346"/>
      <c r="J1" s="346"/>
      <c r="K1" s="346"/>
      <c r="L1" s="346"/>
      <c r="M1" s="346"/>
      <c r="N1" s="346"/>
      <c r="O1" s="346"/>
    </row>
    <row r="2" spans="1:20" ht="18" thickBot="1">
      <c r="A2" s="4"/>
      <c r="B2" s="4"/>
      <c r="C2" s="347"/>
      <c r="D2" s="347"/>
      <c r="E2" s="347"/>
      <c r="F2" s="347"/>
      <c r="G2" s="347"/>
      <c r="H2" s="347"/>
      <c r="I2" s="347"/>
      <c r="J2" s="347"/>
      <c r="K2" s="347"/>
      <c r="L2" s="347"/>
      <c r="M2" s="347"/>
      <c r="N2" s="347"/>
      <c r="O2" s="347"/>
    </row>
    <row r="3" spans="1:20">
      <c r="A3" s="348" t="s">
        <v>26</v>
      </c>
      <c r="B3" s="350" t="s">
        <v>27</v>
      </c>
      <c r="C3" s="350" t="s">
        <v>28</v>
      </c>
      <c r="D3" s="350" t="s">
        <v>176</v>
      </c>
      <c r="E3" s="352" t="s">
        <v>1</v>
      </c>
      <c r="F3" s="352"/>
      <c r="G3" s="352"/>
      <c r="H3" s="352"/>
      <c r="I3" s="352"/>
      <c r="J3" s="352"/>
      <c r="K3" s="352"/>
      <c r="L3" s="352"/>
      <c r="M3" s="352"/>
      <c r="N3" s="353" t="s">
        <v>2</v>
      </c>
      <c r="O3" s="355" t="s">
        <v>144</v>
      </c>
    </row>
    <row r="4" spans="1:20">
      <c r="A4" s="349"/>
      <c r="B4" s="351"/>
      <c r="C4" s="351"/>
      <c r="D4" s="351"/>
      <c r="E4" s="16" t="s">
        <v>41</v>
      </c>
      <c r="F4" s="16" t="s">
        <v>47</v>
      </c>
      <c r="G4" s="16" t="s">
        <v>42</v>
      </c>
      <c r="H4" s="16" t="s">
        <v>6</v>
      </c>
      <c r="I4" s="16" t="s">
        <v>48</v>
      </c>
      <c r="J4" s="16" t="s">
        <v>42</v>
      </c>
      <c r="K4" s="16" t="s">
        <v>6</v>
      </c>
      <c r="L4" s="186" t="s">
        <v>49</v>
      </c>
      <c r="M4" s="16" t="s">
        <v>42</v>
      </c>
      <c r="N4" s="354"/>
      <c r="O4" s="356"/>
    </row>
    <row r="5" spans="1:20" ht="31.5" customHeight="1">
      <c r="A5" s="369"/>
      <c r="B5" s="370" t="s">
        <v>52</v>
      </c>
      <c r="C5" s="29" t="s">
        <v>169</v>
      </c>
      <c r="D5" s="63" t="s">
        <v>227</v>
      </c>
      <c r="E5" s="63" t="s">
        <v>228</v>
      </c>
      <c r="F5" s="190">
        <v>40000</v>
      </c>
      <c r="G5" s="191" t="s">
        <v>7</v>
      </c>
      <c r="H5" s="191" t="s">
        <v>4</v>
      </c>
      <c r="I5" s="190">
        <v>9</v>
      </c>
      <c r="J5" s="189" t="s">
        <v>8</v>
      </c>
      <c r="K5" s="191" t="s">
        <v>4</v>
      </c>
      <c r="L5" s="190">
        <v>8</v>
      </c>
      <c r="M5" s="259" t="s">
        <v>18</v>
      </c>
      <c r="N5" s="66">
        <f t="shared" ref="N5" si="0">F5*I5*L5</f>
        <v>2880000</v>
      </c>
      <c r="O5" s="66"/>
    </row>
    <row r="6" spans="1:20" ht="31.5" customHeight="1">
      <c r="A6" s="369"/>
      <c r="B6" s="370"/>
      <c r="C6" s="31"/>
      <c r="D6" s="65" t="s">
        <v>227</v>
      </c>
      <c r="E6" s="271" t="s">
        <v>1361</v>
      </c>
      <c r="F6" s="64">
        <v>30000</v>
      </c>
      <c r="G6" s="261" t="s">
        <v>1369</v>
      </c>
      <c r="H6" s="261" t="s">
        <v>4</v>
      </c>
      <c r="I6" s="261">
        <v>1</v>
      </c>
      <c r="J6" s="261" t="s">
        <v>1359</v>
      </c>
      <c r="K6" s="261" t="s">
        <v>1370</v>
      </c>
      <c r="L6" s="68">
        <v>17</v>
      </c>
      <c r="M6" s="65" t="s">
        <v>1371</v>
      </c>
      <c r="N6" s="66">
        <f t="shared" ref="N6:N26" si="1">F6*I6*L6</f>
        <v>510000</v>
      </c>
      <c r="O6" s="66"/>
    </row>
    <row r="7" spans="1:20" ht="31.5" customHeight="1">
      <c r="A7" s="369"/>
      <c r="B7" s="370"/>
      <c r="C7" s="31"/>
      <c r="D7" s="65"/>
      <c r="E7" s="67"/>
      <c r="F7" s="64"/>
      <c r="G7" s="68" t="s">
        <v>7</v>
      </c>
      <c r="H7" s="68" t="s">
        <v>4</v>
      </c>
      <c r="I7" s="265"/>
      <c r="J7" s="265" t="s">
        <v>155</v>
      </c>
      <c r="K7" s="265" t="s">
        <v>6</v>
      </c>
      <c r="L7" s="265"/>
      <c r="M7" s="68" t="s">
        <v>9</v>
      </c>
      <c r="N7" s="66">
        <f t="shared" si="1"/>
        <v>0</v>
      </c>
      <c r="O7" s="66"/>
    </row>
    <row r="8" spans="1:20" ht="31.5" customHeight="1">
      <c r="A8" s="369"/>
      <c r="B8" s="370"/>
      <c r="C8" s="29" t="s">
        <v>170</v>
      </c>
      <c r="D8" s="65" t="s">
        <v>229</v>
      </c>
      <c r="E8" s="67" t="s">
        <v>230</v>
      </c>
      <c r="F8" s="64">
        <v>55000</v>
      </c>
      <c r="G8" s="68" t="s">
        <v>7</v>
      </c>
      <c r="H8" s="68" t="s">
        <v>4</v>
      </c>
      <c r="I8" s="265">
        <v>186</v>
      </c>
      <c r="J8" s="265" t="s">
        <v>24</v>
      </c>
      <c r="K8" s="265" t="s">
        <v>6</v>
      </c>
      <c r="L8" s="274">
        <v>1</v>
      </c>
      <c r="M8" s="68" t="s">
        <v>9</v>
      </c>
      <c r="N8" s="180">
        <f t="shared" si="1"/>
        <v>10230000</v>
      </c>
      <c r="O8" s="66"/>
    </row>
    <row r="9" spans="1:20" ht="31.5" customHeight="1">
      <c r="A9" s="369"/>
      <c r="B9" s="370"/>
      <c r="C9" s="33"/>
      <c r="D9" s="65" t="s">
        <v>232</v>
      </c>
      <c r="E9" s="67" t="s">
        <v>231</v>
      </c>
      <c r="F9" s="190">
        <v>5751</v>
      </c>
      <c r="G9" s="68" t="s">
        <v>7</v>
      </c>
      <c r="H9" s="68" t="s">
        <v>4</v>
      </c>
      <c r="I9" s="265">
        <v>20</v>
      </c>
      <c r="J9" s="265" t="s">
        <v>24</v>
      </c>
      <c r="K9" s="265" t="s">
        <v>6</v>
      </c>
      <c r="L9" s="274">
        <v>28</v>
      </c>
      <c r="M9" s="68" t="s">
        <v>9</v>
      </c>
      <c r="N9" s="66">
        <f t="shared" si="1"/>
        <v>3220560</v>
      </c>
      <c r="O9" s="66"/>
    </row>
    <row r="10" spans="1:20" ht="31.5" customHeight="1">
      <c r="A10" s="369"/>
      <c r="B10" s="370"/>
      <c r="C10" s="53" t="s">
        <v>171</v>
      </c>
      <c r="D10" s="65"/>
      <c r="E10" s="67"/>
      <c r="F10" s="64"/>
      <c r="G10" s="68" t="s">
        <v>7</v>
      </c>
      <c r="H10" s="68" t="s">
        <v>4</v>
      </c>
      <c r="I10" s="265"/>
      <c r="J10" s="265" t="s">
        <v>150</v>
      </c>
      <c r="K10" s="265" t="s">
        <v>6</v>
      </c>
      <c r="L10" s="265"/>
      <c r="M10" s="68" t="s">
        <v>9</v>
      </c>
      <c r="N10" s="66">
        <f t="shared" si="1"/>
        <v>0</v>
      </c>
      <c r="O10" s="66"/>
    </row>
    <row r="11" spans="1:20" ht="31.5" customHeight="1">
      <c r="A11" s="369"/>
      <c r="B11" s="370"/>
      <c r="C11" s="31"/>
      <c r="D11" s="65"/>
      <c r="E11" s="67"/>
      <c r="F11" s="64"/>
      <c r="G11" s="68"/>
      <c r="H11" s="68"/>
      <c r="I11" s="265"/>
      <c r="J11" s="265"/>
      <c r="K11" s="265"/>
      <c r="L11" s="265"/>
      <c r="M11" s="68"/>
      <c r="N11" s="66">
        <f t="shared" si="1"/>
        <v>0</v>
      </c>
      <c r="O11" s="66"/>
    </row>
    <row r="12" spans="1:20" ht="31.5" customHeight="1">
      <c r="A12" s="369"/>
      <c r="B12" s="370"/>
      <c r="C12" s="54" t="s">
        <v>172</v>
      </c>
      <c r="D12" s="65" t="s">
        <v>14</v>
      </c>
      <c r="E12" s="67" t="s">
        <v>233</v>
      </c>
      <c r="F12" s="64">
        <v>100000</v>
      </c>
      <c r="G12" s="68" t="s">
        <v>7</v>
      </c>
      <c r="H12" s="68" t="s">
        <v>4</v>
      </c>
      <c r="I12" s="265">
        <v>8</v>
      </c>
      <c r="J12" s="265" t="s">
        <v>241</v>
      </c>
      <c r="K12" s="265" t="s">
        <v>6</v>
      </c>
      <c r="L12" s="274">
        <v>36</v>
      </c>
      <c r="M12" s="68" t="s">
        <v>9</v>
      </c>
      <c r="N12" s="66">
        <f t="shared" si="1"/>
        <v>28800000</v>
      </c>
      <c r="O12" s="66"/>
      <c r="Q12" s="79">
        <v>75000</v>
      </c>
      <c r="R12" s="79">
        <v>8</v>
      </c>
      <c r="S12" s="79">
        <v>49</v>
      </c>
      <c r="T12" s="79">
        <f>Q12*S12*R12</f>
        <v>29400000</v>
      </c>
    </row>
    <row r="13" spans="1:20" ht="31.5" customHeight="1">
      <c r="A13" s="369"/>
      <c r="B13" s="370"/>
      <c r="C13" s="31"/>
      <c r="D13" s="65" t="s">
        <v>14</v>
      </c>
      <c r="E13" s="67" t="s">
        <v>234</v>
      </c>
      <c r="F13" s="64">
        <v>60000</v>
      </c>
      <c r="G13" s="68" t="s">
        <v>7</v>
      </c>
      <c r="H13" s="68" t="s">
        <v>6</v>
      </c>
      <c r="I13" s="265">
        <v>8</v>
      </c>
      <c r="J13" s="265" t="s">
        <v>12</v>
      </c>
      <c r="K13" s="265" t="s">
        <v>6</v>
      </c>
      <c r="L13" s="274">
        <v>36</v>
      </c>
      <c r="M13" s="68" t="s">
        <v>9</v>
      </c>
      <c r="N13" s="66">
        <f t="shared" si="1"/>
        <v>17280000</v>
      </c>
      <c r="O13" s="66"/>
      <c r="Q13" s="79">
        <v>45000</v>
      </c>
      <c r="R13" s="79">
        <v>8</v>
      </c>
      <c r="S13" s="79">
        <v>49</v>
      </c>
      <c r="T13" s="79">
        <f>Q13*S13*R13</f>
        <v>17640000</v>
      </c>
    </row>
    <row r="14" spans="1:20" ht="31.5" customHeight="1">
      <c r="A14" s="369"/>
      <c r="B14" s="370"/>
      <c r="C14" s="31"/>
      <c r="D14" s="65" t="s">
        <v>235</v>
      </c>
      <c r="E14" s="67" t="s">
        <v>236</v>
      </c>
      <c r="F14" s="64">
        <v>100000</v>
      </c>
      <c r="G14" s="68" t="s">
        <v>7</v>
      </c>
      <c r="H14" s="68" t="s">
        <v>6</v>
      </c>
      <c r="I14" s="265">
        <v>1</v>
      </c>
      <c r="J14" s="265" t="s">
        <v>12</v>
      </c>
      <c r="K14" s="265" t="s">
        <v>6</v>
      </c>
      <c r="L14" s="274">
        <v>40</v>
      </c>
      <c r="M14" s="68" t="s">
        <v>9</v>
      </c>
      <c r="N14" s="66">
        <f>F14*I14*L14</f>
        <v>4000000</v>
      </c>
      <c r="O14" s="66"/>
    </row>
    <row r="15" spans="1:20" ht="31.5" customHeight="1">
      <c r="A15" s="369"/>
      <c r="B15" s="370"/>
      <c r="C15" s="31"/>
      <c r="D15" s="65" t="s">
        <v>237</v>
      </c>
      <c r="E15" s="70" t="s">
        <v>238</v>
      </c>
      <c r="F15" s="64">
        <v>250000</v>
      </c>
      <c r="G15" s="68" t="s">
        <v>7</v>
      </c>
      <c r="H15" s="68" t="s">
        <v>4</v>
      </c>
      <c r="I15" s="265">
        <v>1</v>
      </c>
      <c r="J15" s="265" t="s">
        <v>12</v>
      </c>
      <c r="K15" s="265" t="s">
        <v>6</v>
      </c>
      <c r="L15" s="274">
        <v>8</v>
      </c>
      <c r="M15" s="68" t="s">
        <v>9</v>
      </c>
      <c r="N15" s="66">
        <f t="shared" si="1"/>
        <v>2000000</v>
      </c>
      <c r="O15" s="66"/>
    </row>
    <row r="16" spans="1:20" ht="31.5" customHeight="1">
      <c r="A16" s="369"/>
      <c r="B16" s="370"/>
      <c r="C16" s="31"/>
      <c r="D16" s="65" t="s">
        <v>247</v>
      </c>
      <c r="E16" s="70" t="s">
        <v>247</v>
      </c>
      <c r="F16" s="64">
        <v>10000</v>
      </c>
      <c r="G16" s="65" t="s">
        <v>7</v>
      </c>
      <c r="H16" s="65" t="s">
        <v>4</v>
      </c>
      <c r="I16" s="68">
        <v>1</v>
      </c>
      <c r="J16" s="65" t="s">
        <v>12</v>
      </c>
      <c r="K16" s="65" t="s">
        <v>6</v>
      </c>
      <c r="L16" s="68">
        <v>28</v>
      </c>
      <c r="M16" s="68" t="s">
        <v>9</v>
      </c>
      <c r="N16" s="66">
        <f t="shared" ref="N16" si="2">F16*I16*L16</f>
        <v>280000</v>
      </c>
      <c r="O16" s="66"/>
    </row>
    <row r="17" spans="1:15" ht="31.5" customHeight="1">
      <c r="A17" s="369"/>
      <c r="B17" s="370"/>
      <c r="C17" s="54" t="s">
        <v>182</v>
      </c>
      <c r="D17" s="60" t="s">
        <v>183</v>
      </c>
      <c r="E17" s="61" t="s">
        <v>239</v>
      </c>
      <c r="F17" s="64">
        <v>20000</v>
      </c>
      <c r="G17" s="65" t="s">
        <v>7</v>
      </c>
      <c r="H17" s="69" t="s">
        <v>6</v>
      </c>
      <c r="I17" s="68">
        <v>8</v>
      </c>
      <c r="J17" s="65" t="s">
        <v>12</v>
      </c>
      <c r="K17" s="65" t="s">
        <v>6</v>
      </c>
      <c r="L17" s="68">
        <v>22</v>
      </c>
      <c r="M17" s="68" t="s">
        <v>9</v>
      </c>
      <c r="N17" s="66">
        <f t="shared" si="1"/>
        <v>3520000</v>
      </c>
      <c r="O17" s="66"/>
    </row>
    <row r="18" spans="1:15" ht="31.5" customHeight="1">
      <c r="A18" s="369"/>
      <c r="B18" s="370"/>
      <c r="C18" s="31"/>
      <c r="D18" s="60"/>
      <c r="E18" s="61" t="s">
        <v>240</v>
      </c>
      <c r="F18" s="64">
        <v>20000</v>
      </c>
      <c r="G18" s="65" t="s">
        <v>7</v>
      </c>
      <c r="H18" s="69" t="s">
        <v>6</v>
      </c>
      <c r="I18" s="68">
        <v>8</v>
      </c>
      <c r="J18" s="65" t="s">
        <v>12</v>
      </c>
      <c r="K18" s="65" t="s">
        <v>6</v>
      </c>
      <c r="L18" s="68">
        <v>22</v>
      </c>
      <c r="M18" s="68" t="s">
        <v>9</v>
      </c>
      <c r="N18" s="66">
        <f t="shared" si="1"/>
        <v>3520000</v>
      </c>
      <c r="O18" s="66"/>
    </row>
    <row r="19" spans="1:15" ht="31.5" customHeight="1">
      <c r="A19" s="369"/>
      <c r="B19" s="370"/>
      <c r="C19" s="33" t="s">
        <v>173</v>
      </c>
      <c r="D19" s="60" t="s">
        <v>242</v>
      </c>
      <c r="E19" s="62" t="s">
        <v>249</v>
      </c>
      <c r="F19" s="64">
        <v>25000</v>
      </c>
      <c r="G19" s="65" t="s">
        <v>7</v>
      </c>
      <c r="H19" s="69" t="s">
        <v>6</v>
      </c>
      <c r="I19" s="68">
        <v>20</v>
      </c>
      <c r="J19" s="65" t="s">
        <v>241</v>
      </c>
      <c r="K19" s="65" t="s">
        <v>6</v>
      </c>
      <c r="L19" s="68">
        <v>1</v>
      </c>
      <c r="M19" s="68" t="s">
        <v>9</v>
      </c>
      <c r="N19" s="66">
        <f t="shared" si="1"/>
        <v>500000</v>
      </c>
      <c r="O19" s="66"/>
    </row>
    <row r="20" spans="1:15" ht="31.5" customHeight="1">
      <c r="A20" s="369"/>
      <c r="B20" s="370"/>
      <c r="C20" s="33"/>
      <c r="D20" s="60" t="s">
        <v>243</v>
      </c>
      <c r="E20" s="61" t="s">
        <v>244</v>
      </c>
      <c r="F20" s="64">
        <v>10000</v>
      </c>
      <c r="G20" s="65" t="s">
        <v>7</v>
      </c>
      <c r="H20" s="69" t="s">
        <v>6</v>
      </c>
      <c r="I20" s="68">
        <v>22</v>
      </c>
      <c r="J20" s="65" t="s">
        <v>12</v>
      </c>
      <c r="K20" s="65" t="s">
        <v>6</v>
      </c>
      <c r="L20" s="68">
        <v>58</v>
      </c>
      <c r="M20" s="68" t="s">
        <v>9</v>
      </c>
      <c r="N20" s="66">
        <f t="shared" si="1"/>
        <v>12760000</v>
      </c>
      <c r="O20" s="66"/>
    </row>
    <row r="21" spans="1:15" ht="31.5" customHeight="1">
      <c r="A21" s="369"/>
      <c r="B21" s="370"/>
      <c r="C21" s="54" t="s">
        <v>174</v>
      </c>
      <c r="D21" s="60" t="s">
        <v>245</v>
      </c>
      <c r="E21" s="61" t="s">
        <v>245</v>
      </c>
      <c r="F21" s="64">
        <v>500</v>
      </c>
      <c r="G21" s="68" t="s">
        <v>7</v>
      </c>
      <c r="H21" s="68" t="s">
        <v>6</v>
      </c>
      <c r="I21" s="265">
        <v>20</v>
      </c>
      <c r="J21" s="265" t="s">
        <v>12</v>
      </c>
      <c r="K21" s="265" t="s">
        <v>6</v>
      </c>
      <c r="L21" s="274">
        <v>27</v>
      </c>
      <c r="M21" s="68" t="s">
        <v>9</v>
      </c>
      <c r="N21" s="66">
        <f t="shared" si="1"/>
        <v>270000</v>
      </c>
      <c r="O21" s="66"/>
    </row>
    <row r="22" spans="1:15" ht="31.5" customHeight="1">
      <c r="A22" s="369"/>
      <c r="B22" s="370"/>
      <c r="C22" s="33"/>
      <c r="D22" s="65"/>
      <c r="E22" s="71"/>
      <c r="F22" s="64"/>
      <c r="G22" s="68"/>
      <c r="H22" s="68"/>
      <c r="I22" s="265"/>
      <c r="J22" s="265"/>
      <c r="K22" s="265"/>
      <c r="L22" s="265"/>
      <c r="M22" s="68"/>
      <c r="N22" s="66">
        <f t="shared" si="1"/>
        <v>0</v>
      </c>
      <c r="O22" s="66"/>
    </row>
    <row r="23" spans="1:15" ht="31.5" customHeight="1">
      <c r="A23" s="369"/>
      <c r="B23" s="370"/>
      <c r="C23" s="33" t="s">
        <v>187</v>
      </c>
      <c r="D23" s="60" t="s">
        <v>246</v>
      </c>
      <c r="E23" s="61" t="s">
        <v>254</v>
      </c>
      <c r="F23" s="64">
        <v>10000</v>
      </c>
      <c r="G23" s="65" t="s">
        <v>7</v>
      </c>
      <c r="H23" s="69" t="s">
        <v>6</v>
      </c>
      <c r="I23" s="68">
        <v>32</v>
      </c>
      <c r="J23" s="65" t="s">
        <v>248</v>
      </c>
      <c r="K23" s="65" t="s">
        <v>6</v>
      </c>
      <c r="L23" s="68">
        <v>2</v>
      </c>
      <c r="M23" s="68" t="s">
        <v>9</v>
      </c>
      <c r="N23" s="66">
        <f t="shared" si="1"/>
        <v>640000</v>
      </c>
      <c r="O23" s="66"/>
    </row>
    <row r="24" spans="1:15" ht="31.5" customHeight="1">
      <c r="A24" s="369"/>
      <c r="B24" s="370"/>
      <c r="C24" s="31"/>
      <c r="D24" s="65"/>
      <c r="E24" s="67"/>
      <c r="F24" s="64"/>
      <c r="G24" s="68"/>
      <c r="H24" s="68"/>
      <c r="I24" s="68"/>
      <c r="J24" s="68"/>
      <c r="K24" s="68"/>
      <c r="L24" s="68"/>
      <c r="M24" s="68"/>
      <c r="N24" s="66">
        <f t="shared" si="1"/>
        <v>0</v>
      </c>
      <c r="O24" s="66"/>
    </row>
    <row r="25" spans="1:15" ht="31.5" customHeight="1">
      <c r="A25" s="369"/>
      <c r="B25" s="370"/>
      <c r="C25" s="33" t="s">
        <v>175</v>
      </c>
      <c r="D25" s="65"/>
      <c r="E25" s="67"/>
      <c r="F25" s="64"/>
      <c r="G25" s="68"/>
      <c r="H25" s="68"/>
      <c r="I25" s="68"/>
      <c r="J25" s="68"/>
      <c r="K25" s="68"/>
      <c r="L25" s="187"/>
      <c r="M25" s="68"/>
      <c r="N25" s="66">
        <f t="shared" si="1"/>
        <v>0</v>
      </c>
      <c r="O25" s="66"/>
    </row>
    <row r="26" spans="1:15" ht="31.5" customHeight="1">
      <c r="A26" s="369"/>
      <c r="B26" s="370"/>
      <c r="C26" s="31"/>
      <c r="D26" s="65"/>
      <c r="E26" s="67"/>
      <c r="F26" s="64"/>
      <c r="G26" s="65"/>
      <c r="H26" s="69"/>
      <c r="I26" s="68"/>
      <c r="J26" s="65"/>
      <c r="K26" s="65"/>
      <c r="L26" s="187"/>
      <c r="M26" s="65"/>
      <c r="N26" s="66">
        <f t="shared" si="1"/>
        <v>0</v>
      </c>
      <c r="O26" s="66"/>
    </row>
    <row r="27" spans="1:15" ht="27" customHeight="1">
      <c r="A27" s="371" t="s">
        <v>210</v>
      </c>
      <c r="B27" s="372"/>
      <c r="C27" s="372"/>
      <c r="D27" s="372"/>
      <c r="E27" s="372"/>
      <c r="F27" s="372"/>
      <c r="G27" s="372"/>
      <c r="H27" s="372"/>
      <c r="I27" s="372"/>
      <c r="J27" s="372"/>
      <c r="K27" s="372"/>
      <c r="L27" s="372"/>
      <c r="M27" s="372"/>
      <c r="N27" s="46">
        <f>SUM(N5:N26)</f>
        <v>90410560</v>
      </c>
      <c r="O27" s="52"/>
    </row>
    <row r="28" spans="1:15" ht="18" thickBot="1">
      <c r="A28" s="6"/>
      <c r="B28" s="6"/>
      <c r="C28" s="6"/>
      <c r="D28" s="6"/>
      <c r="E28" s="6"/>
      <c r="F28" s="6"/>
      <c r="G28" s="6"/>
      <c r="H28" s="6"/>
      <c r="I28" s="6"/>
      <c r="J28" s="6"/>
      <c r="K28" s="6"/>
      <c r="L28" s="6"/>
      <c r="M28" s="6"/>
      <c r="N28" s="6"/>
      <c r="O28" s="6"/>
    </row>
    <row r="29" spans="1:15" ht="18.600000000000001" thickTop="1" thickBot="1">
      <c r="A29" s="357" t="s">
        <v>45</v>
      </c>
      <c r="B29" s="358"/>
      <c r="C29" s="358"/>
      <c r="D29" s="358"/>
      <c r="E29" s="359"/>
    </row>
    <row r="30" spans="1:15" ht="30" customHeight="1">
      <c r="A30" s="360" t="s">
        <v>192</v>
      </c>
      <c r="B30" s="361"/>
      <c r="C30" s="361"/>
      <c r="D30" s="361"/>
      <c r="E30" s="361"/>
      <c r="F30" s="361"/>
      <c r="G30" s="361"/>
      <c r="H30" s="361"/>
      <c r="I30" s="361"/>
      <c r="J30" s="361"/>
      <c r="K30" s="361"/>
      <c r="L30" s="361"/>
      <c r="M30" s="361"/>
      <c r="N30" s="361"/>
      <c r="O30" s="362"/>
    </row>
    <row r="31" spans="1:15" ht="30" customHeight="1">
      <c r="A31" s="363"/>
      <c r="B31" s="364"/>
      <c r="C31" s="364"/>
      <c r="D31" s="364"/>
      <c r="E31" s="364"/>
      <c r="F31" s="364"/>
      <c r="G31" s="364"/>
      <c r="H31" s="364"/>
      <c r="I31" s="364"/>
      <c r="J31" s="364"/>
      <c r="K31" s="364"/>
      <c r="L31" s="364"/>
      <c r="M31" s="364"/>
      <c r="N31" s="364"/>
      <c r="O31" s="365"/>
    </row>
    <row r="32" spans="1:15" ht="30" customHeight="1">
      <c r="A32" s="363"/>
      <c r="B32" s="364"/>
      <c r="C32" s="364"/>
      <c r="D32" s="364"/>
      <c r="E32" s="364"/>
      <c r="F32" s="364"/>
      <c r="G32" s="364"/>
      <c r="H32" s="364"/>
      <c r="I32" s="364"/>
      <c r="J32" s="364"/>
      <c r="K32" s="364"/>
      <c r="L32" s="364"/>
      <c r="M32" s="364"/>
      <c r="N32" s="364"/>
      <c r="O32" s="365"/>
    </row>
    <row r="33" spans="1:15" ht="30" customHeight="1">
      <c r="A33" s="363"/>
      <c r="B33" s="364"/>
      <c r="C33" s="364"/>
      <c r="D33" s="364"/>
      <c r="E33" s="364"/>
      <c r="F33" s="364"/>
      <c r="G33" s="364"/>
      <c r="H33" s="364"/>
      <c r="I33" s="364"/>
      <c r="J33" s="364"/>
      <c r="K33" s="364"/>
      <c r="L33" s="364"/>
      <c r="M33" s="364"/>
      <c r="N33" s="364"/>
      <c r="O33" s="365"/>
    </row>
    <row r="34" spans="1:15" ht="30" customHeight="1">
      <c r="A34" s="363"/>
      <c r="B34" s="364"/>
      <c r="C34" s="364"/>
      <c r="D34" s="364"/>
      <c r="E34" s="364"/>
      <c r="F34" s="364"/>
      <c r="G34" s="364"/>
      <c r="H34" s="364"/>
      <c r="I34" s="364"/>
      <c r="J34" s="364"/>
      <c r="K34" s="364"/>
      <c r="L34" s="364"/>
      <c r="M34" s="364"/>
      <c r="N34" s="364"/>
      <c r="O34" s="365"/>
    </row>
    <row r="35" spans="1:15" ht="30" customHeight="1">
      <c r="A35" s="363"/>
      <c r="B35" s="364"/>
      <c r="C35" s="364"/>
      <c r="D35" s="364"/>
      <c r="E35" s="364"/>
      <c r="F35" s="364"/>
      <c r="G35" s="364"/>
      <c r="H35" s="364"/>
      <c r="I35" s="364"/>
      <c r="J35" s="364"/>
      <c r="K35" s="364"/>
      <c r="L35" s="364"/>
      <c r="M35" s="364"/>
      <c r="N35" s="364"/>
      <c r="O35" s="365"/>
    </row>
    <row r="36" spans="1:15" ht="30" customHeight="1">
      <c r="A36" s="363"/>
      <c r="B36" s="364"/>
      <c r="C36" s="364"/>
      <c r="D36" s="364"/>
      <c r="E36" s="364"/>
      <c r="F36" s="364"/>
      <c r="G36" s="364"/>
      <c r="H36" s="364"/>
      <c r="I36" s="364"/>
      <c r="J36" s="364"/>
      <c r="K36" s="364"/>
      <c r="L36" s="364"/>
      <c r="M36" s="364"/>
      <c r="N36" s="364"/>
      <c r="O36" s="365"/>
    </row>
    <row r="37" spans="1:15" ht="30" customHeight="1" thickBot="1">
      <c r="A37" s="366"/>
      <c r="B37" s="367"/>
      <c r="C37" s="367"/>
      <c r="D37" s="367"/>
      <c r="E37" s="367"/>
      <c r="F37" s="367"/>
      <c r="G37" s="367"/>
      <c r="H37" s="367"/>
      <c r="I37" s="367"/>
      <c r="J37" s="367"/>
      <c r="K37" s="367"/>
      <c r="L37" s="367"/>
      <c r="M37" s="367"/>
      <c r="N37" s="367"/>
      <c r="O37" s="368"/>
    </row>
  </sheetData>
  <mergeCells count="14">
    <mergeCell ref="A1:O1"/>
    <mergeCell ref="C2:O2"/>
    <mergeCell ref="A3:A4"/>
    <mergeCell ref="B3:B4"/>
    <mergeCell ref="C3:C4"/>
    <mergeCell ref="D3:D4"/>
    <mergeCell ref="E3:M3"/>
    <mergeCell ref="N3:N4"/>
    <mergeCell ref="O3:O4"/>
    <mergeCell ref="A30:O37"/>
    <mergeCell ref="A5:A26"/>
    <mergeCell ref="B5:B26"/>
    <mergeCell ref="A27:M27"/>
    <mergeCell ref="A29:E29"/>
  </mergeCells>
  <phoneticPr fontId="2" type="noConversion"/>
  <pageMargins left="0.7" right="0.7" top="0.75" bottom="0.75" header="0.3" footer="0.3"/>
  <pageSetup paperSize="9" scale="4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6"/>
  <sheetViews>
    <sheetView view="pageBreakPreview" topLeftCell="C3" zoomScale="85" zoomScaleNormal="70" zoomScaleSheetLayoutView="85" workbookViewId="0">
      <selection activeCell="N12" sqref="N12:N13"/>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7.09765625" bestFit="1" customWidth="1"/>
    <col min="10" max="10" width="8.69921875" bestFit="1" customWidth="1"/>
    <col min="11" max="11" width="4.69921875" bestFit="1" customWidth="1"/>
    <col min="12" max="12" width="8.59765625" bestFit="1" customWidth="1"/>
    <col min="13" max="13" width="5.3984375" bestFit="1" customWidth="1"/>
    <col min="14" max="14" width="18.09765625" bestFit="1" customWidth="1"/>
    <col min="15" max="15" width="10" customWidth="1"/>
    <col min="19" max="19" width="9.8984375" bestFit="1" customWidth="1"/>
    <col min="20" max="21" width="12.59765625" bestFit="1" customWidth="1"/>
  </cols>
  <sheetData>
    <row r="1" spans="1:20" ht="25.8">
      <c r="A1" s="400" t="s">
        <v>1343</v>
      </c>
      <c r="B1" s="346"/>
      <c r="C1" s="346"/>
      <c r="D1" s="346"/>
      <c r="E1" s="346"/>
      <c r="F1" s="346"/>
      <c r="G1" s="346"/>
      <c r="H1" s="346"/>
      <c r="I1" s="346"/>
      <c r="J1" s="346"/>
      <c r="K1" s="346"/>
      <c r="L1" s="346"/>
      <c r="M1" s="346"/>
      <c r="N1" s="346"/>
      <c r="O1" s="346"/>
    </row>
    <row r="2" spans="1:20" ht="18" thickBot="1">
      <c r="A2" s="4"/>
      <c r="B2" s="4"/>
      <c r="C2" s="347"/>
      <c r="D2" s="347"/>
      <c r="E2" s="347"/>
      <c r="F2" s="347"/>
      <c r="G2" s="347"/>
      <c r="H2" s="347"/>
      <c r="I2" s="347"/>
      <c r="J2" s="347"/>
      <c r="K2" s="347"/>
      <c r="L2" s="347"/>
      <c r="M2" s="347"/>
      <c r="N2" s="347"/>
      <c r="O2" s="347"/>
    </row>
    <row r="3" spans="1:20">
      <c r="A3" s="348" t="s">
        <v>26</v>
      </c>
      <c r="B3" s="350" t="s">
        <v>27</v>
      </c>
      <c r="C3" s="350" t="s">
        <v>28</v>
      </c>
      <c r="D3" s="350" t="s">
        <v>176</v>
      </c>
      <c r="E3" s="352" t="s">
        <v>1</v>
      </c>
      <c r="F3" s="352"/>
      <c r="G3" s="352"/>
      <c r="H3" s="352"/>
      <c r="I3" s="352"/>
      <c r="J3" s="352"/>
      <c r="K3" s="352"/>
      <c r="L3" s="352"/>
      <c r="M3" s="352"/>
      <c r="N3" s="353" t="s">
        <v>2</v>
      </c>
      <c r="O3" s="355" t="s">
        <v>144</v>
      </c>
    </row>
    <row r="4" spans="1:20">
      <c r="A4" s="349"/>
      <c r="B4" s="351"/>
      <c r="C4" s="351"/>
      <c r="D4" s="351"/>
      <c r="E4" s="16" t="s">
        <v>41</v>
      </c>
      <c r="F4" s="16" t="s">
        <v>47</v>
      </c>
      <c r="G4" s="16" t="s">
        <v>42</v>
      </c>
      <c r="H4" s="16" t="s">
        <v>6</v>
      </c>
      <c r="I4" s="16" t="s">
        <v>48</v>
      </c>
      <c r="J4" s="16" t="s">
        <v>42</v>
      </c>
      <c r="K4" s="16" t="s">
        <v>6</v>
      </c>
      <c r="L4" s="186" t="s">
        <v>49</v>
      </c>
      <c r="M4" s="16" t="s">
        <v>42</v>
      </c>
      <c r="N4" s="354"/>
      <c r="O4" s="356"/>
    </row>
    <row r="5" spans="1:20" ht="31.5" customHeight="1">
      <c r="A5" s="369"/>
      <c r="B5" s="370" t="s">
        <v>52</v>
      </c>
      <c r="C5" s="29" t="s">
        <v>169</v>
      </c>
      <c r="D5" s="63" t="s">
        <v>227</v>
      </c>
      <c r="E5" s="63" t="s">
        <v>228</v>
      </c>
      <c r="F5" s="190">
        <v>40000</v>
      </c>
      <c r="G5" s="191" t="s">
        <v>7</v>
      </c>
      <c r="H5" s="191" t="s">
        <v>4</v>
      </c>
      <c r="I5" s="190">
        <v>9</v>
      </c>
      <c r="J5" s="189" t="s">
        <v>8</v>
      </c>
      <c r="K5" s="191" t="s">
        <v>4</v>
      </c>
      <c r="L5" s="190">
        <v>8</v>
      </c>
      <c r="M5" s="63" t="s">
        <v>18</v>
      </c>
      <c r="N5" s="66">
        <f t="shared" ref="N5:N25" si="0">F5*I5*L5</f>
        <v>2880000</v>
      </c>
      <c r="O5" s="66"/>
      <c r="T5" s="79"/>
    </row>
    <row r="6" spans="1:20" ht="31.5" customHeight="1">
      <c r="A6" s="369"/>
      <c r="B6" s="370"/>
      <c r="C6" s="31"/>
      <c r="D6" s="65"/>
      <c r="E6" s="67"/>
      <c r="F6" s="64"/>
      <c r="G6" s="65" t="s">
        <v>7</v>
      </c>
      <c r="H6" s="65" t="s">
        <v>4</v>
      </c>
      <c r="I6" s="183"/>
      <c r="J6" s="263" t="s">
        <v>8</v>
      </c>
      <c r="K6" s="263" t="s">
        <v>6</v>
      </c>
      <c r="L6" s="266"/>
      <c r="M6" s="65" t="s">
        <v>9</v>
      </c>
      <c r="N6" s="66">
        <f t="shared" si="0"/>
        <v>0</v>
      </c>
      <c r="O6" s="66"/>
    </row>
    <row r="7" spans="1:20" ht="31.5" customHeight="1">
      <c r="A7" s="369"/>
      <c r="B7" s="370"/>
      <c r="C7" s="31"/>
      <c r="D7" s="65"/>
      <c r="E7" s="67"/>
      <c r="F7" s="64"/>
      <c r="G7" s="65" t="s">
        <v>7</v>
      </c>
      <c r="H7" s="65" t="s">
        <v>4</v>
      </c>
      <c r="I7" s="183"/>
      <c r="J7" s="263" t="s">
        <v>155</v>
      </c>
      <c r="K7" s="263" t="s">
        <v>6</v>
      </c>
      <c r="L7" s="266"/>
      <c r="M7" s="65" t="s">
        <v>9</v>
      </c>
      <c r="N7" s="66">
        <f t="shared" si="0"/>
        <v>0</v>
      </c>
      <c r="O7" s="66"/>
      <c r="T7" s="80"/>
    </row>
    <row r="8" spans="1:20" ht="31.5" customHeight="1">
      <c r="A8" s="369"/>
      <c r="B8" s="370"/>
      <c r="C8" s="29" t="s">
        <v>170</v>
      </c>
      <c r="D8" s="65" t="s">
        <v>229</v>
      </c>
      <c r="E8" s="70" t="s">
        <v>250</v>
      </c>
      <c r="F8" s="64">
        <v>298000</v>
      </c>
      <c r="G8" s="65" t="s">
        <v>7</v>
      </c>
      <c r="H8" s="65" t="s">
        <v>4</v>
      </c>
      <c r="I8" s="183">
        <v>201</v>
      </c>
      <c r="J8" s="263" t="s">
        <v>24</v>
      </c>
      <c r="K8" s="263" t="s">
        <v>6</v>
      </c>
      <c r="L8" s="266">
        <v>1</v>
      </c>
      <c r="M8" s="65" t="s">
        <v>9</v>
      </c>
      <c r="N8" s="180">
        <f t="shared" si="0"/>
        <v>59898000</v>
      </c>
      <c r="O8" s="66"/>
      <c r="T8" s="257"/>
    </row>
    <row r="9" spans="1:20" ht="31.5" customHeight="1">
      <c r="A9" s="369"/>
      <c r="B9" s="370"/>
      <c r="C9" s="33"/>
      <c r="D9" s="65" t="s">
        <v>232</v>
      </c>
      <c r="E9" s="67" t="s">
        <v>231</v>
      </c>
      <c r="F9" s="190">
        <v>5751</v>
      </c>
      <c r="G9" s="65" t="s">
        <v>7</v>
      </c>
      <c r="H9" s="65" t="s">
        <v>4</v>
      </c>
      <c r="I9" s="183">
        <v>20</v>
      </c>
      <c r="J9" s="263" t="s">
        <v>24</v>
      </c>
      <c r="K9" s="263" t="s">
        <v>6</v>
      </c>
      <c r="L9" s="266">
        <v>28</v>
      </c>
      <c r="M9" s="65" t="s">
        <v>9</v>
      </c>
      <c r="N9" s="66">
        <f t="shared" si="0"/>
        <v>3220560</v>
      </c>
      <c r="O9" s="66"/>
    </row>
    <row r="10" spans="1:20" ht="31.5" customHeight="1">
      <c r="A10" s="369"/>
      <c r="B10" s="370"/>
      <c r="C10" s="53" t="s">
        <v>171</v>
      </c>
      <c r="D10" s="65"/>
      <c r="E10" s="67"/>
      <c r="F10" s="64"/>
      <c r="G10" s="65" t="s">
        <v>7</v>
      </c>
      <c r="H10" s="65" t="s">
        <v>4</v>
      </c>
      <c r="I10" s="183"/>
      <c r="J10" s="263" t="s">
        <v>150</v>
      </c>
      <c r="K10" s="263" t="s">
        <v>6</v>
      </c>
      <c r="L10" s="266"/>
      <c r="M10" s="65" t="s">
        <v>9</v>
      </c>
      <c r="N10" s="74">
        <f t="shared" si="0"/>
        <v>0</v>
      </c>
      <c r="O10" s="66"/>
    </row>
    <row r="11" spans="1:20" ht="31.5" customHeight="1">
      <c r="A11" s="369"/>
      <c r="B11" s="370"/>
      <c r="C11" s="31"/>
      <c r="D11" s="65"/>
      <c r="E11" s="67"/>
      <c r="F11" s="64"/>
      <c r="G11" s="65"/>
      <c r="H11" s="65"/>
      <c r="I11" s="183"/>
      <c r="J11" s="263"/>
      <c r="K11" s="263"/>
      <c r="L11" s="266"/>
      <c r="M11" s="65"/>
      <c r="N11" s="74">
        <f t="shared" si="0"/>
        <v>0</v>
      </c>
      <c r="O11" s="66"/>
    </row>
    <row r="12" spans="1:20" ht="31.5" customHeight="1">
      <c r="A12" s="369"/>
      <c r="B12" s="370"/>
      <c r="C12" s="54" t="s">
        <v>172</v>
      </c>
      <c r="D12" s="65" t="s">
        <v>14</v>
      </c>
      <c r="E12" s="67" t="s">
        <v>233</v>
      </c>
      <c r="F12" s="64">
        <v>75000</v>
      </c>
      <c r="G12" s="65" t="s">
        <v>7</v>
      </c>
      <c r="H12" s="65" t="s">
        <v>4</v>
      </c>
      <c r="I12" s="183">
        <v>8</v>
      </c>
      <c r="J12" s="263" t="s">
        <v>241</v>
      </c>
      <c r="K12" s="263" t="s">
        <v>6</v>
      </c>
      <c r="L12" s="266">
        <v>40</v>
      </c>
      <c r="M12" s="65" t="s">
        <v>9</v>
      </c>
      <c r="N12" s="66">
        <f t="shared" si="0"/>
        <v>24000000</v>
      </c>
      <c r="O12" s="66"/>
    </row>
    <row r="13" spans="1:20" ht="31.5" customHeight="1">
      <c r="A13" s="369"/>
      <c r="B13" s="370"/>
      <c r="C13" s="31"/>
      <c r="D13" s="65" t="s">
        <v>14</v>
      </c>
      <c r="E13" s="67" t="s">
        <v>234</v>
      </c>
      <c r="F13" s="64">
        <v>45000</v>
      </c>
      <c r="G13" s="65" t="s">
        <v>7</v>
      </c>
      <c r="H13" s="69" t="s">
        <v>6</v>
      </c>
      <c r="I13" s="183">
        <v>8</v>
      </c>
      <c r="J13" s="263" t="s">
        <v>12</v>
      </c>
      <c r="K13" s="263" t="s">
        <v>6</v>
      </c>
      <c r="L13" s="266">
        <v>40</v>
      </c>
      <c r="M13" s="65" t="s">
        <v>9</v>
      </c>
      <c r="N13" s="66">
        <f t="shared" si="0"/>
        <v>14400000</v>
      </c>
      <c r="O13" s="66"/>
    </row>
    <row r="14" spans="1:20" ht="31.5" customHeight="1">
      <c r="A14" s="369"/>
      <c r="B14" s="370"/>
      <c r="C14" s="31"/>
      <c r="D14" s="65" t="s">
        <v>235</v>
      </c>
      <c r="E14" s="67" t="s">
        <v>236</v>
      </c>
      <c r="F14" s="64">
        <v>100000</v>
      </c>
      <c r="G14" s="68" t="s">
        <v>7</v>
      </c>
      <c r="H14" s="68" t="s">
        <v>6</v>
      </c>
      <c r="I14" s="265">
        <v>1</v>
      </c>
      <c r="J14" s="265" t="s">
        <v>12</v>
      </c>
      <c r="K14" s="265" t="s">
        <v>6</v>
      </c>
      <c r="L14" s="274">
        <v>40</v>
      </c>
      <c r="M14" s="68" t="s">
        <v>9</v>
      </c>
      <c r="N14" s="66">
        <f>F14*I14*L14</f>
        <v>4000000</v>
      </c>
      <c r="O14" s="66"/>
    </row>
    <row r="15" spans="1:20" ht="31.5" customHeight="1">
      <c r="A15" s="369"/>
      <c r="B15" s="370"/>
      <c r="C15" s="31"/>
      <c r="D15" s="65" t="s">
        <v>237</v>
      </c>
      <c r="E15" s="70" t="s">
        <v>238</v>
      </c>
      <c r="F15" s="64">
        <v>250000</v>
      </c>
      <c r="G15" s="65" t="s">
        <v>7</v>
      </c>
      <c r="H15" s="65" t="s">
        <v>4</v>
      </c>
      <c r="I15" s="183">
        <v>1</v>
      </c>
      <c r="J15" s="263" t="s">
        <v>12</v>
      </c>
      <c r="K15" s="263" t="s">
        <v>6</v>
      </c>
      <c r="L15" s="266">
        <v>8</v>
      </c>
      <c r="M15" s="65" t="s">
        <v>9</v>
      </c>
      <c r="N15" s="66">
        <f t="shared" si="0"/>
        <v>2000000</v>
      </c>
      <c r="O15" s="66"/>
      <c r="S15" s="79"/>
    </row>
    <row r="16" spans="1:20" ht="31.5" customHeight="1">
      <c r="A16" s="369"/>
      <c r="B16" s="370"/>
      <c r="C16" s="31"/>
      <c r="D16" s="65" t="s">
        <v>247</v>
      </c>
      <c r="E16" s="70" t="s">
        <v>247</v>
      </c>
      <c r="F16" s="64">
        <v>10000</v>
      </c>
      <c r="G16" s="65" t="s">
        <v>7</v>
      </c>
      <c r="H16" s="65" t="s">
        <v>4</v>
      </c>
      <c r="I16" s="68">
        <v>1</v>
      </c>
      <c r="J16" s="65" t="s">
        <v>12</v>
      </c>
      <c r="K16" s="65" t="s">
        <v>6</v>
      </c>
      <c r="L16" s="68">
        <v>28</v>
      </c>
      <c r="M16" s="65" t="s">
        <v>9</v>
      </c>
      <c r="N16" s="66">
        <f t="shared" si="0"/>
        <v>280000</v>
      </c>
      <c r="O16" s="66"/>
    </row>
    <row r="17" spans="1:21" ht="31.5" customHeight="1">
      <c r="A17" s="369"/>
      <c r="B17" s="370"/>
      <c r="C17" s="54" t="s">
        <v>182</v>
      </c>
      <c r="D17" s="60" t="s">
        <v>183</v>
      </c>
      <c r="E17" s="61" t="s">
        <v>239</v>
      </c>
      <c r="F17" s="64">
        <v>20000</v>
      </c>
      <c r="G17" s="65" t="s">
        <v>7</v>
      </c>
      <c r="H17" s="69" t="s">
        <v>6</v>
      </c>
      <c r="I17" s="68">
        <v>8</v>
      </c>
      <c r="J17" s="65" t="s">
        <v>12</v>
      </c>
      <c r="K17" s="65" t="s">
        <v>6</v>
      </c>
      <c r="L17" s="68">
        <v>22</v>
      </c>
      <c r="M17" s="65" t="s">
        <v>9</v>
      </c>
      <c r="N17" s="66">
        <f t="shared" si="0"/>
        <v>3520000</v>
      </c>
      <c r="O17" s="66"/>
    </row>
    <row r="18" spans="1:21" ht="31.5" customHeight="1">
      <c r="A18" s="369"/>
      <c r="B18" s="370"/>
      <c r="C18" s="31"/>
      <c r="D18" s="60"/>
      <c r="E18" s="61" t="s">
        <v>240</v>
      </c>
      <c r="F18" s="64">
        <v>20000</v>
      </c>
      <c r="G18" s="65" t="s">
        <v>7</v>
      </c>
      <c r="H18" s="69" t="s">
        <v>6</v>
      </c>
      <c r="I18" s="68">
        <v>8</v>
      </c>
      <c r="J18" s="65" t="s">
        <v>12</v>
      </c>
      <c r="K18" s="65" t="s">
        <v>6</v>
      </c>
      <c r="L18" s="68">
        <v>22</v>
      </c>
      <c r="M18" s="65" t="s">
        <v>9</v>
      </c>
      <c r="N18" s="66">
        <f t="shared" ref="N18:N19" si="1">F18*I18*L18</f>
        <v>3520000</v>
      </c>
      <c r="O18" s="66"/>
      <c r="T18" s="79"/>
      <c r="U18" s="79"/>
    </row>
    <row r="19" spans="1:21" ht="31.5" customHeight="1">
      <c r="A19" s="369"/>
      <c r="B19" s="370"/>
      <c r="C19" s="33" t="s">
        <v>173</v>
      </c>
      <c r="D19" s="60" t="s">
        <v>242</v>
      </c>
      <c r="E19" s="62" t="s">
        <v>249</v>
      </c>
      <c r="F19" s="64">
        <v>25000</v>
      </c>
      <c r="G19" s="65" t="s">
        <v>7</v>
      </c>
      <c r="H19" s="69" t="s">
        <v>6</v>
      </c>
      <c r="I19" s="68">
        <v>20</v>
      </c>
      <c r="J19" s="65" t="s">
        <v>241</v>
      </c>
      <c r="K19" s="65" t="s">
        <v>6</v>
      </c>
      <c r="L19" s="68">
        <v>1</v>
      </c>
      <c r="M19" s="254" t="s">
        <v>9</v>
      </c>
      <c r="N19" s="66">
        <f t="shared" si="1"/>
        <v>500000</v>
      </c>
      <c r="O19" s="66"/>
    </row>
    <row r="20" spans="1:21" ht="31.5" customHeight="1">
      <c r="A20" s="369"/>
      <c r="B20" s="370"/>
      <c r="C20" s="33"/>
      <c r="D20" s="60" t="s">
        <v>243</v>
      </c>
      <c r="E20" s="61" t="s">
        <v>244</v>
      </c>
      <c r="F20" s="64">
        <v>10000</v>
      </c>
      <c r="G20" s="65" t="s">
        <v>7</v>
      </c>
      <c r="H20" s="69" t="s">
        <v>6</v>
      </c>
      <c r="I20" s="68">
        <v>22</v>
      </c>
      <c r="J20" s="65" t="s">
        <v>12</v>
      </c>
      <c r="K20" s="65" t="s">
        <v>6</v>
      </c>
      <c r="L20" s="68">
        <v>58</v>
      </c>
      <c r="M20" s="65" t="s">
        <v>9</v>
      </c>
      <c r="N20" s="66">
        <f t="shared" si="0"/>
        <v>12760000</v>
      </c>
      <c r="O20" s="66"/>
      <c r="T20" s="257"/>
      <c r="U20" s="80"/>
    </row>
    <row r="21" spans="1:21" ht="31.5" customHeight="1">
      <c r="A21" s="369"/>
      <c r="B21" s="370"/>
      <c r="C21" s="54" t="s">
        <v>174</v>
      </c>
      <c r="D21" s="60" t="s">
        <v>245</v>
      </c>
      <c r="E21" s="61" t="s">
        <v>245</v>
      </c>
      <c r="F21" s="64">
        <v>500</v>
      </c>
      <c r="G21" s="68" t="s">
        <v>7</v>
      </c>
      <c r="H21" s="68" t="s">
        <v>6</v>
      </c>
      <c r="I21" s="265">
        <v>20</v>
      </c>
      <c r="J21" s="265" t="s">
        <v>12</v>
      </c>
      <c r="K21" s="265" t="s">
        <v>6</v>
      </c>
      <c r="L21" s="274">
        <v>27</v>
      </c>
      <c r="M21" s="68" t="s">
        <v>9</v>
      </c>
      <c r="N21" s="66">
        <f t="shared" si="0"/>
        <v>270000</v>
      </c>
      <c r="O21" s="66"/>
      <c r="T21" s="257"/>
    </row>
    <row r="22" spans="1:21" ht="31.5" customHeight="1">
      <c r="A22" s="369"/>
      <c r="B22" s="370"/>
      <c r="C22" s="33"/>
      <c r="D22" s="65"/>
      <c r="E22" s="71"/>
      <c r="F22" s="64"/>
      <c r="G22" s="68"/>
      <c r="H22" s="65"/>
      <c r="I22" s="183"/>
      <c r="J22" s="264"/>
      <c r="K22" s="264"/>
      <c r="L22" s="266"/>
      <c r="M22" s="261"/>
      <c r="N22" s="74">
        <f t="shared" si="0"/>
        <v>0</v>
      </c>
      <c r="O22" s="66"/>
    </row>
    <row r="23" spans="1:21" ht="31.5" customHeight="1">
      <c r="A23" s="369"/>
      <c r="B23" s="370"/>
      <c r="C23" s="33" t="s">
        <v>187</v>
      </c>
      <c r="D23" s="60" t="s">
        <v>246</v>
      </c>
      <c r="E23" s="61" t="s">
        <v>254</v>
      </c>
      <c r="F23" s="64">
        <v>10000</v>
      </c>
      <c r="G23" s="65" t="s">
        <v>7</v>
      </c>
      <c r="H23" s="69" t="s">
        <v>6</v>
      </c>
      <c r="I23" s="68">
        <v>32</v>
      </c>
      <c r="J23" s="65" t="s">
        <v>248</v>
      </c>
      <c r="K23" s="65" t="s">
        <v>6</v>
      </c>
      <c r="L23" s="68">
        <v>2</v>
      </c>
      <c r="M23" s="65" t="s">
        <v>9</v>
      </c>
      <c r="N23" s="66">
        <f t="shared" si="0"/>
        <v>640000</v>
      </c>
      <c r="O23" s="66"/>
    </row>
    <row r="24" spans="1:21" ht="31.5" customHeight="1">
      <c r="A24" s="369"/>
      <c r="B24" s="370"/>
      <c r="C24" s="31"/>
      <c r="D24" s="65"/>
      <c r="E24" s="67"/>
      <c r="F24" s="64"/>
      <c r="G24" s="65"/>
      <c r="H24" s="69"/>
      <c r="I24" s="261"/>
      <c r="J24" s="65"/>
      <c r="K24" s="65"/>
      <c r="L24" s="262"/>
      <c r="M24" s="65"/>
      <c r="N24" s="66">
        <f t="shared" si="0"/>
        <v>0</v>
      </c>
      <c r="O24" s="66"/>
      <c r="U24" s="258"/>
    </row>
    <row r="25" spans="1:21" ht="31.5" customHeight="1">
      <c r="A25" s="369"/>
      <c r="B25" s="370"/>
      <c r="C25" s="33" t="s">
        <v>175</v>
      </c>
      <c r="D25" s="65"/>
      <c r="E25" s="67"/>
      <c r="F25" s="64"/>
      <c r="G25" s="65"/>
      <c r="H25" s="69"/>
      <c r="I25" s="68"/>
      <c r="J25" s="65"/>
      <c r="K25" s="65"/>
      <c r="L25" s="187"/>
      <c r="M25" s="65"/>
      <c r="N25" s="66">
        <f t="shared" si="0"/>
        <v>0</v>
      </c>
      <c r="O25" s="66"/>
    </row>
    <row r="26" spans="1:21" ht="27" customHeight="1">
      <c r="A26" s="371" t="s">
        <v>210</v>
      </c>
      <c r="B26" s="372"/>
      <c r="C26" s="372"/>
      <c r="D26" s="372"/>
      <c r="E26" s="372"/>
      <c r="F26" s="372"/>
      <c r="G26" s="372"/>
      <c r="H26" s="372"/>
      <c r="I26" s="372"/>
      <c r="J26" s="372"/>
      <c r="K26" s="372"/>
      <c r="L26" s="372"/>
      <c r="M26" s="372"/>
      <c r="N26" s="46">
        <f>SUM(N5:N25)</f>
        <v>131888560</v>
      </c>
      <c r="O26" s="52"/>
      <c r="U26" s="257"/>
    </row>
    <row r="27" spans="1:21" ht="18" thickBot="1">
      <c r="A27" s="6"/>
      <c r="B27" s="6"/>
      <c r="C27" s="6"/>
      <c r="D27" s="6"/>
      <c r="E27" s="6"/>
      <c r="F27" s="6"/>
      <c r="G27" s="6"/>
      <c r="H27" s="6"/>
      <c r="I27" s="6"/>
      <c r="J27" s="6"/>
      <c r="K27" s="6"/>
      <c r="L27" s="6"/>
      <c r="M27" s="6"/>
      <c r="N27" s="6"/>
      <c r="O27" s="6"/>
      <c r="U27" s="257"/>
    </row>
    <row r="28" spans="1:21" ht="18.600000000000001" thickTop="1" thickBot="1">
      <c r="A28" s="357" t="s">
        <v>45</v>
      </c>
      <c r="B28" s="358"/>
      <c r="C28" s="358"/>
      <c r="D28" s="358"/>
      <c r="E28" s="359"/>
    </row>
    <row r="29" spans="1:21" ht="30" customHeight="1">
      <c r="A29" s="360" t="s">
        <v>192</v>
      </c>
      <c r="B29" s="361"/>
      <c r="C29" s="361"/>
      <c r="D29" s="361"/>
      <c r="E29" s="361"/>
      <c r="F29" s="361"/>
      <c r="G29" s="361"/>
      <c r="H29" s="361"/>
      <c r="I29" s="361"/>
      <c r="J29" s="361"/>
      <c r="K29" s="361"/>
      <c r="L29" s="361"/>
      <c r="M29" s="361"/>
      <c r="N29" s="361"/>
      <c r="O29" s="362"/>
    </row>
    <row r="30" spans="1:21" ht="30" customHeight="1">
      <c r="A30" s="363"/>
      <c r="B30" s="364"/>
      <c r="C30" s="364"/>
      <c r="D30" s="364"/>
      <c r="E30" s="364"/>
      <c r="F30" s="364"/>
      <c r="G30" s="364"/>
      <c r="H30" s="364"/>
      <c r="I30" s="364"/>
      <c r="J30" s="364"/>
      <c r="K30" s="364"/>
      <c r="L30" s="364"/>
      <c r="M30" s="364"/>
      <c r="N30" s="364"/>
      <c r="O30" s="365"/>
    </row>
    <row r="31" spans="1:21" ht="30" customHeight="1">
      <c r="A31" s="363"/>
      <c r="B31" s="364"/>
      <c r="C31" s="364"/>
      <c r="D31" s="364"/>
      <c r="E31" s="364"/>
      <c r="F31" s="364"/>
      <c r="G31" s="364"/>
      <c r="H31" s="364"/>
      <c r="I31" s="364"/>
      <c r="J31" s="364"/>
      <c r="K31" s="364"/>
      <c r="L31" s="364"/>
      <c r="M31" s="364"/>
      <c r="N31" s="364"/>
      <c r="O31" s="365"/>
    </row>
    <row r="32" spans="1:21" ht="30" customHeight="1">
      <c r="A32" s="363"/>
      <c r="B32" s="364"/>
      <c r="C32" s="364"/>
      <c r="D32" s="364"/>
      <c r="E32" s="364"/>
      <c r="F32" s="364"/>
      <c r="G32" s="364"/>
      <c r="H32" s="364"/>
      <c r="I32" s="364"/>
      <c r="J32" s="364"/>
      <c r="K32" s="364"/>
      <c r="L32" s="364"/>
      <c r="M32" s="364"/>
      <c r="N32" s="364"/>
      <c r="O32" s="365"/>
    </row>
    <row r="33" spans="1:15" ht="30" customHeight="1">
      <c r="A33" s="363"/>
      <c r="B33" s="364"/>
      <c r="C33" s="364"/>
      <c r="D33" s="364"/>
      <c r="E33" s="364"/>
      <c r="F33" s="364"/>
      <c r="G33" s="364"/>
      <c r="H33" s="364"/>
      <c r="I33" s="364"/>
      <c r="J33" s="364"/>
      <c r="K33" s="364"/>
      <c r="L33" s="364"/>
      <c r="M33" s="364"/>
      <c r="N33" s="364"/>
      <c r="O33" s="365"/>
    </row>
    <row r="34" spans="1:15" ht="30" customHeight="1">
      <c r="A34" s="363"/>
      <c r="B34" s="364"/>
      <c r="C34" s="364"/>
      <c r="D34" s="364"/>
      <c r="E34" s="364"/>
      <c r="F34" s="364"/>
      <c r="G34" s="364"/>
      <c r="H34" s="364"/>
      <c r="I34" s="364"/>
      <c r="J34" s="364"/>
      <c r="K34" s="364"/>
      <c r="L34" s="364"/>
      <c r="M34" s="364"/>
      <c r="N34" s="364"/>
      <c r="O34" s="365"/>
    </row>
    <row r="35" spans="1:15" ht="30" customHeight="1">
      <c r="A35" s="363"/>
      <c r="B35" s="364"/>
      <c r="C35" s="364"/>
      <c r="D35" s="364"/>
      <c r="E35" s="364"/>
      <c r="F35" s="364"/>
      <c r="G35" s="364"/>
      <c r="H35" s="364"/>
      <c r="I35" s="364"/>
      <c r="J35" s="364"/>
      <c r="K35" s="364"/>
      <c r="L35" s="364"/>
      <c r="M35" s="364"/>
      <c r="N35" s="364"/>
      <c r="O35" s="365"/>
    </row>
    <row r="36" spans="1:15" ht="30" customHeight="1" thickBot="1">
      <c r="A36" s="366"/>
      <c r="B36" s="367"/>
      <c r="C36" s="367"/>
      <c r="D36" s="367"/>
      <c r="E36" s="367"/>
      <c r="F36" s="367"/>
      <c r="G36" s="367"/>
      <c r="H36" s="367"/>
      <c r="I36" s="367"/>
      <c r="J36" s="367"/>
      <c r="K36" s="367"/>
      <c r="L36" s="367"/>
      <c r="M36" s="367"/>
      <c r="N36" s="367"/>
      <c r="O36" s="368"/>
    </row>
  </sheetData>
  <mergeCells count="14">
    <mergeCell ref="A5:A25"/>
    <mergeCell ref="B5:B25"/>
    <mergeCell ref="A26:M26"/>
    <mergeCell ref="A28:E28"/>
    <mergeCell ref="A29:O36"/>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36"/>
  <sheetViews>
    <sheetView view="pageBreakPreview" zoomScale="70" zoomScaleNormal="70" zoomScaleSheetLayoutView="70" workbookViewId="0">
      <selection activeCell="F5" sqref="F5:L5"/>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22.09765625" bestFit="1" customWidth="1"/>
    <col min="7" max="7" width="5.3984375" bestFit="1" customWidth="1"/>
    <col min="8" max="8" width="4.69921875" bestFit="1" customWidth="1"/>
    <col min="9" max="9" width="7.09765625" style="185" bestFit="1" customWidth="1"/>
    <col min="10" max="10" width="8.69921875" bestFit="1" customWidth="1"/>
    <col min="11" max="11" width="4.69921875" bestFit="1" customWidth="1"/>
    <col min="12" max="12" width="9.09765625" style="185" bestFit="1" customWidth="1"/>
    <col min="13" max="13" width="5.3984375" bestFit="1" customWidth="1"/>
    <col min="14" max="14" width="21.3984375" customWidth="1"/>
    <col min="15" max="15" width="10" customWidth="1"/>
    <col min="18" max="18" width="15.09765625" customWidth="1"/>
  </cols>
  <sheetData>
    <row r="1" spans="1:18" ht="25.8">
      <c r="A1" s="400" t="s">
        <v>1345</v>
      </c>
      <c r="B1" s="346"/>
      <c r="C1" s="346"/>
      <c r="D1" s="346"/>
      <c r="E1" s="346"/>
      <c r="F1" s="346"/>
      <c r="G1" s="346"/>
      <c r="H1" s="346"/>
      <c r="I1" s="346"/>
      <c r="J1" s="346"/>
      <c r="K1" s="346"/>
      <c r="L1" s="346"/>
      <c r="M1" s="346"/>
      <c r="N1" s="346"/>
      <c r="O1" s="346"/>
    </row>
    <row r="2" spans="1:18" ht="18" thickBot="1">
      <c r="A2" s="4"/>
      <c r="B2" s="4"/>
      <c r="C2" s="347"/>
      <c r="D2" s="347"/>
      <c r="E2" s="347"/>
      <c r="F2" s="347"/>
      <c r="G2" s="347"/>
      <c r="H2" s="347"/>
      <c r="I2" s="347"/>
      <c r="J2" s="347"/>
      <c r="K2" s="347"/>
      <c r="L2" s="347"/>
      <c r="M2" s="347"/>
      <c r="N2" s="347"/>
      <c r="O2" s="347"/>
    </row>
    <row r="3" spans="1:18">
      <c r="A3" s="348" t="s">
        <v>26</v>
      </c>
      <c r="B3" s="350" t="s">
        <v>27</v>
      </c>
      <c r="C3" s="350" t="s">
        <v>28</v>
      </c>
      <c r="D3" s="350" t="s">
        <v>176</v>
      </c>
      <c r="E3" s="352" t="s">
        <v>1</v>
      </c>
      <c r="F3" s="352"/>
      <c r="G3" s="352"/>
      <c r="H3" s="352"/>
      <c r="I3" s="352"/>
      <c r="J3" s="352"/>
      <c r="K3" s="352"/>
      <c r="L3" s="352"/>
      <c r="M3" s="352"/>
      <c r="N3" s="353" t="s">
        <v>2</v>
      </c>
      <c r="O3" s="355" t="s">
        <v>144</v>
      </c>
    </row>
    <row r="4" spans="1:18">
      <c r="A4" s="349"/>
      <c r="B4" s="351"/>
      <c r="C4" s="351"/>
      <c r="D4" s="351"/>
      <c r="E4" s="16" t="s">
        <v>41</v>
      </c>
      <c r="F4" s="16" t="s">
        <v>47</v>
      </c>
      <c r="G4" s="16" t="s">
        <v>42</v>
      </c>
      <c r="H4" s="16" t="s">
        <v>6</v>
      </c>
      <c r="I4" s="181" t="s">
        <v>48</v>
      </c>
      <c r="J4" s="16" t="s">
        <v>42</v>
      </c>
      <c r="K4" s="16" t="s">
        <v>6</v>
      </c>
      <c r="L4" s="181" t="s">
        <v>49</v>
      </c>
      <c r="M4" s="16" t="s">
        <v>42</v>
      </c>
      <c r="N4" s="354"/>
      <c r="O4" s="356"/>
    </row>
    <row r="5" spans="1:18" ht="31.5" customHeight="1">
      <c r="A5" s="369"/>
      <c r="B5" s="370" t="s">
        <v>52</v>
      </c>
      <c r="C5" s="29" t="s">
        <v>169</v>
      </c>
      <c r="D5" s="63" t="s">
        <v>227</v>
      </c>
      <c r="E5" s="63" t="s">
        <v>228</v>
      </c>
      <c r="F5" s="190">
        <v>40000</v>
      </c>
      <c r="G5" s="191" t="s">
        <v>7</v>
      </c>
      <c r="H5" s="191" t="s">
        <v>4</v>
      </c>
      <c r="I5" s="190">
        <v>9</v>
      </c>
      <c r="J5" s="189" t="s">
        <v>8</v>
      </c>
      <c r="K5" s="191" t="s">
        <v>4</v>
      </c>
      <c r="L5" s="190">
        <v>8</v>
      </c>
      <c r="M5" s="63" t="s">
        <v>18</v>
      </c>
      <c r="N5" s="66">
        <f t="shared" ref="N5:N25" si="0">F5*I5*L5</f>
        <v>2880000</v>
      </c>
      <c r="O5" s="66"/>
    </row>
    <row r="6" spans="1:18" ht="31.5" customHeight="1">
      <c r="A6" s="369"/>
      <c r="B6" s="370"/>
      <c r="C6" s="31"/>
      <c r="D6" s="65"/>
      <c r="E6" s="67"/>
      <c r="F6" s="64"/>
      <c r="G6" s="65" t="s">
        <v>7</v>
      </c>
      <c r="H6" s="65" t="s">
        <v>4</v>
      </c>
      <c r="I6" s="260"/>
      <c r="J6" s="254" t="s">
        <v>8</v>
      </c>
      <c r="K6" s="254" t="s">
        <v>6</v>
      </c>
      <c r="L6" s="260"/>
      <c r="M6" s="65" t="s">
        <v>9</v>
      </c>
      <c r="N6" s="66">
        <f t="shared" si="0"/>
        <v>0</v>
      </c>
      <c r="O6" s="66"/>
    </row>
    <row r="7" spans="1:18" ht="31.5" customHeight="1">
      <c r="A7" s="369"/>
      <c r="B7" s="370"/>
      <c r="C7" s="31"/>
      <c r="D7" s="65"/>
      <c r="E7" s="67"/>
      <c r="F7" s="64"/>
      <c r="G7" s="65" t="s">
        <v>7</v>
      </c>
      <c r="H7" s="65" t="s">
        <v>4</v>
      </c>
      <c r="I7" s="260"/>
      <c r="J7" s="254" t="s">
        <v>155</v>
      </c>
      <c r="K7" s="254" t="s">
        <v>6</v>
      </c>
      <c r="L7" s="260"/>
      <c r="M7" s="65" t="s">
        <v>9</v>
      </c>
      <c r="N7" s="66">
        <f t="shared" si="0"/>
        <v>0</v>
      </c>
      <c r="O7" s="66"/>
      <c r="R7" s="79"/>
    </row>
    <row r="8" spans="1:18" ht="31.5" customHeight="1">
      <c r="A8" s="369"/>
      <c r="B8" s="370"/>
      <c r="C8" s="29" t="s">
        <v>170</v>
      </c>
      <c r="D8" s="65" t="s">
        <v>229</v>
      </c>
      <c r="E8" s="70" t="s">
        <v>251</v>
      </c>
      <c r="F8" s="64">
        <v>77000</v>
      </c>
      <c r="G8" s="65" t="s">
        <v>7</v>
      </c>
      <c r="H8" s="65" t="s">
        <v>4</v>
      </c>
      <c r="I8" s="260">
        <v>169</v>
      </c>
      <c r="J8" s="254" t="s">
        <v>24</v>
      </c>
      <c r="K8" s="254" t="s">
        <v>6</v>
      </c>
      <c r="L8" s="260">
        <v>1</v>
      </c>
      <c r="M8" s="65" t="s">
        <v>9</v>
      </c>
      <c r="N8" s="180">
        <f t="shared" si="0"/>
        <v>13013000</v>
      </c>
      <c r="O8" s="66"/>
    </row>
    <row r="9" spans="1:18" ht="31.5" customHeight="1">
      <c r="A9" s="369"/>
      <c r="B9" s="370"/>
      <c r="C9" s="33"/>
      <c r="D9" s="65" t="s">
        <v>232</v>
      </c>
      <c r="E9" s="67" t="s">
        <v>231</v>
      </c>
      <c r="F9" s="190">
        <v>5751</v>
      </c>
      <c r="G9" s="65" t="s">
        <v>7</v>
      </c>
      <c r="H9" s="65" t="s">
        <v>4</v>
      </c>
      <c r="I9" s="260">
        <v>20</v>
      </c>
      <c r="J9" s="254" t="s">
        <v>24</v>
      </c>
      <c r="K9" s="254" t="s">
        <v>6</v>
      </c>
      <c r="L9" s="260">
        <v>28</v>
      </c>
      <c r="M9" s="65" t="s">
        <v>9</v>
      </c>
      <c r="N9" s="66">
        <f t="shared" si="0"/>
        <v>3220560</v>
      </c>
      <c r="O9" s="66"/>
      <c r="R9" s="80"/>
    </row>
    <row r="10" spans="1:18" ht="31.5" customHeight="1">
      <c r="A10" s="369"/>
      <c r="B10" s="370"/>
      <c r="C10" s="53" t="s">
        <v>171</v>
      </c>
      <c r="D10" s="65"/>
      <c r="E10" s="67"/>
      <c r="F10" s="64"/>
      <c r="G10" s="65" t="s">
        <v>7</v>
      </c>
      <c r="H10" s="65" t="s">
        <v>4</v>
      </c>
      <c r="I10" s="260"/>
      <c r="J10" s="254" t="s">
        <v>150</v>
      </c>
      <c r="K10" s="254" t="s">
        <v>6</v>
      </c>
      <c r="L10" s="260"/>
      <c r="M10" s="65" t="s">
        <v>9</v>
      </c>
      <c r="N10" s="66">
        <f t="shared" si="0"/>
        <v>0</v>
      </c>
      <c r="O10" s="66"/>
      <c r="R10" s="257"/>
    </row>
    <row r="11" spans="1:18" ht="31.5" customHeight="1">
      <c r="A11" s="369"/>
      <c r="B11" s="370"/>
      <c r="C11" s="31"/>
      <c r="D11" s="65"/>
      <c r="E11" s="67"/>
      <c r="F11" s="64"/>
      <c r="G11" s="65"/>
      <c r="H11" s="65"/>
      <c r="I11" s="260"/>
      <c r="J11" s="254"/>
      <c r="K11" s="254"/>
      <c r="L11" s="260"/>
      <c r="M11" s="65"/>
      <c r="N11" s="66">
        <f t="shared" si="0"/>
        <v>0</v>
      </c>
      <c r="O11" s="66"/>
    </row>
    <row r="12" spans="1:18" ht="31.5" customHeight="1">
      <c r="A12" s="369"/>
      <c r="B12" s="370"/>
      <c r="C12" s="54" t="s">
        <v>172</v>
      </c>
      <c r="D12" s="65" t="s">
        <v>14</v>
      </c>
      <c r="E12" s="67" t="s">
        <v>233</v>
      </c>
      <c r="F12" s="64">
        <v>100000</v>
      </c>
      <c r="G12" s="65" t="s">
        <v>7</v>
      </c>
      <c r="H12" s="65" t="s">
        <v>4</v>
      </c>
      <c r="I12" s="260">
        <v>8</v>
      </c>
      <c r="J12" s="254" t="s">
        <v>241</v>
      </c>
      <c r="K12" s="254" t="s">
        <v>6</v>
      </c>
      <c r="L12" s="260">
        <v>36</v>
      </c>
      <c r="M12" s="65" t="s">
        <v>9</v>
      </c>
      <c r="N12" s="66">
        <f t="shared" si="0"/>
        <v>28800000</v>
      </c>
      <c r="O12" s="66"/>
    </row>
    <row r="13" spans="1:18" ht="31.5" customHeight="1">
      <c r="A13" s="369"/>
      <c r="B13" s="370"/>
      <c r="C13" s="31"/>
      <c r="D13" s="65" t="s">
        <v>14</v>
      </c>
      <c r="E13" s="67" t="s">
        <v>234</v>
      </c>
      <c r="F13" s="64">
        <v>60000</v>
      </c>
      <c r="G13" s="65" t="s">
        <v>7</v>
      </c>
      <c r="H13" s="69" t="s">
        <v>6</v>
      </c>
      <c r="I13" s="260">
        <v>8</v>
      </c>
      <c r="J13" s="254" t="s">
        <v>12</v>
      </c>
      <c r="K13" s="254" t="s">
        <v>6</v>
      </c>
      <c r="L13" s="260">
        <v>36</v>
      </c>
      <c r="M13" s="65" t="s">
        <v>9</v>
      </c>
      <c r="N13" s="66">
        <f t="shared" si="0"/>
        <v>17280000</v>
      </c>
      <c r="O13" s="66"/>
    </row>
    <row r="14" spans="1:18" ht="31.5" customHeight="1">
      <c r="A14" s="369"/>
      <c r="B14" s="370"/>
      <c r="C14" s="31"/>
      <c r="D14" s="65" t="s">
        <v>235</v>
      </c>
      <c r="E14" s="67" t="s">
        <v>236</v>
      </c>
      <c r="F14" s="64">
        <v>100000</v>
      </c>
      <c r="G14" s="68" t="s">
        <v>7</v>
      </c>
      <c r="H14" s="68" t="s">
        <v>6</v>
      </c>
      <c r="I14" s="265">
        <v>1</v>
      </c>
      <c r="J14" s="265" t="s">
        <v>12</v>
      </c>
      <c r="K14" s="265" t="s">
        <v>6</v>
      </c>
      <c r="L14" s="274">
        <v>40</v>
      </c>
      <c r="M14" s="68" t="s">
        <v>9</v>
      </c>
      <c r="N14" s="66">
        <f>F14*I14*L14</f>
        <v>4000000</v>
      </c>
      <c r="O14" s="66"/>
    </row>
    <row r="15" spans="1:18" ht="31.5" customHeight="1">
      <c r="A15" s="369"/>
      <c r="B15" s="370"/>
      <c r="C15" s="31"/>
      <c r="D15" s="65" t="s">
        <v>237</v>
      </c>
      <c r="E15" s="70" t="s">
        <v>238</v>
      </c>
      <c r="F15" s="64">
        <v>250000</v>
      </c>
      <c r="G15" s="65" t="s">
        <v>7</v>
      </c>
      <c r="H15" s="65" t="s">
        <v>4</v>
      </c>
      <c r="I15" s="260">
        <v>1</v>
      </c>
      <c r="J15" s="254" t="s">
        <v>12</v>
      </c>
      <c r="K15" s="254" t="s">
        <v>6</v>
      </c>
      <c r="L15" s="260">
        <v>8</v>
      </c>
      <c r="M15" s="65" t="s">
        <v>9</v>
      </c>
      <c r="N15" s="66">
        <f t="shared" si="0"/>
        <v>2000000</v>
      </c>
      <c r="O15" s="66"/>
    </row>
    <row r="16" spans="1:18" ht="31.5" customHeight="1">
      <c r="A16" s="369"/>
      <c r="B16" s="370"/>
      <c r="C16" s="31"/>
      <c r="D16" s="65" t="s">
        <v>247</v>
      </c>
      <c r="E16" s="70" t="s">
        <v>247</v>
      </c>
      <c r="F16" s="64">
        <v>10000</v>
      </c>
      <c r="G16" s="65" t="s">
        <v>7</v>
      </c>
      <c r="H16" s="65" t="s">
        <v>4</v>
      </c>
      <c r="I16" s="68">
        <v>1</v>
      </c>
      <c r="J16" s="65" t="s">
        <v>12</v>
      </c>
      <c r="K16" s="65" t="s">
        <v>6</v>
      </c>
      <c r="L16" s="68">
        <v>28</v>
      </c>
      <c r="M16" s="65" t="s">
        <v>9</v>
      </c>
      <c r="N16" s="66">
        <f t="shared" si="0"/>
        <v>280000</v>
      </c>
      <c r="O16" s="66"/>
    </row>
    <row r="17" spans="1:15" ht="31.5" customHeight="1">
      <c r="A17" s="369"/>
      <c r="B17" s="370"/>
      <c r="C17" s="54" t="s">
        <v>182</v>
      </c>
      <c r="D17" s="60" t="s">
        <v>183</v>
      </c>
      <c r="E17" s="61" t="s">
        <v>239</v>
      </c>
      <c r="F17" s="64">
        <v>20000</v>
      </c>
      <c r="G17" s="65" t="s">
        <v>7</v>
      </c>
      <c r="H17" s="69" t="s">
        <v>6</v>
      </c>
      <c r="I17" s="68">
        <v>8</v>
      </c>
      <c r="J17" s="65" t="s">
        <v>12</v>
      </c>
      <c r="K17" s="65" t="s">
        <v>6</v>
      </c>
      <c r="L17" s="68">
        <v>22</v>
      </c>
      <c r="M17" s="65" t="s">
        <v>9</v>
      </c>
      <c r="N17" s="66">
        <f t="shared" si="0"/>
        <v>3520000</v>
      </c>
      <c r="O17" s="66"/>
    </row>
    <row r="18" spans="1:15" ht="31.5" customHeight="1">
      <c r="A18" s="369"/>
      <c r="B18" s="370"/>
      <c r="C18" s="31"/>
      <c r="D18" s="60"/>
      <c r="E18" s="61" t="s">
        <v>240</v>
      </c>
      <c r="F18" s="64">
        <v>20000</v>
      </c>
      <c r="G18" s="65" t="s">
        <v>7</v>
      </c>
      <c r="H18" s="69" t="s">
        <v>6</v>
      </c>
      <c r="I18" s="68">
        <v>8</v>
      </c>
      <c r="J18" s="65" t="s">
        <v>12</v>
      </c>
      <c r="K18" s="65" t="s">
        <v>6</v>
      </c>
      <c r="L18" s="68">
        <v>22</v>
      </c>
      <c r="M18" s="65" t="s">
        <v>9</v>
      </c>
      <c r="N18" s="66">
        <f t="shared" si="0"/>
        <v>3520000</v>
      </c>
      <c r="O18" s="66"/>
    </row>
    <row r="19" spans="1:15" ht="31.5" customHeight="1">
      <c r="A19" s="369"/>
      <c r="B19" s="370"/>
      <c r="C19" s="33" t="s">
        <v>173</v>
      </c>
      <c r="D19" s="60" t="s">
        <v>242</v>
      </c>
      <c r="E19" s="62" t="s">
        <v>249</v>
      </c>
      <c r="F19" s="64">
        <v>25000</v>
      </c>
      <c r="G19" s="65" t="s">
        <v>7</v>
      </c>
      <c r="H19" s="69" t="s">
        <v>6</v>
      </c>
      <c r="I19" s="68">
        <v>40</v>
      </c>
      <c r="J19" s="65" t="s">
        <v>241</v>
      </c>
      <c r="K19" s="65" t="s">
        <v>6</v>
      </c>
      <c r="L19" s="68">
        <v>1</v>
      </c>
      <c r="M19" s="254" t="s">
        <v>9</v>
      </c>
      <c r="N19" s="66">
        <f t="shared" si="0"/>
        <v>1000000</v>
      </c>
      <c r="O19" s="66"/>
    </row>
    <row r="20" spans="1:15" ht="31.5" customHeight="1">
      <c r="A20" s="369"/>
      <c r="B20" s="370"/>
      <c r="C20" s="33"/>
      <c r="D20" s="60" t="s">
        <v>243</v>
      </c>
      <c r="E20" s="61" t="s">
        <v>244</v>
      </c>
      <c r="F20" s="64">
        <v>10000</v>
      </c>
      <c r="G20" s="65" t="s">
        <v>7</v>
      </c>
      <c r="H20" s="69" t="s">
        <v>6</v>
      </c>
      <c r="I20" s="68">
        <v>22</v>
      </c>
      <c r="J20" s="65" t="s">
        <v>12</v>
      </c>
      <c r="K20" s="65" t="s">
        <v>6</v>
      </c>
      <c r="L20" s="68">
        <v>58</v>
      </c>
      <c r="M20" s="65" t="s">
        <v>9</v>
      </c>
      <c r="N20" s="66">
        <f t="shared" si="0"/>
        <v>12760000</v>
      </c>
      <c r="O20" s="66"/>
    </row>
    <row r="21" spans="1:15" ht="31.5" customHeight="1">
      <c r="A21" s="369"/>
      <c r="B21" s="370"/>
      <c r="C21" s="54" t="s">
        <v>174</v>
      </c>
      <c r="D21" s="60" t="s">
        <v>245</v>
      </c>
      <c r="E21" s="61" t="s">
        <v>245</v>
      </c>
      <c r="F21" s="64">
        <v>500</v>
      </c>
      <c r="G21" s="68" t="s">
        <v>7</v>
      </c>
      <c r="H21" s="68" t="s">
        <v>6</v>
      </c>
      <c r="I21" s="265">
        <v>20</v>
      </c>
      <c r="J21" s="265" t="s">
        <v>12</v>
      </c>
      <c r="K21" s="265" t="s">
        <v>6</v>
      </c>
      <c r="L21" s="274">
        <v>27</v>
      </c>
      <c r="M21" s="68" t="s">
        <v>9</v>
      </c>
      <c r="N21" s="66">
        <f t="shared" si="0"/>
        <v>270000</v>
      </c>
      <c r="O21" s="66"/>
    </row>
    <row r="22" spans="1:15" ht="31.5" customHeight="1">
      <c r="A22" s="369"/>
      <c r="B22" s="370"/>
      <c r="C22" s="33"/>
      <c r="D22" s="65"/>
      <c r="E22" s="71"/>
      <c r="F22" s="64"/>
      <c r="G22" s="68"/>
      <c r="H22" s="65"/>
      <c r="I22" s="260"/>
      <c r="J22" s="255"/>
      <c r="K22" s="255"/>
      <c r="L22" s="260"/>
      <c r="M22" s="68"/>
      <c r="N22" s="66">
        <f t="shared" si="0"/>
        <v>0</v>
      </c>
      <c r="O22" s="66"/>
    </row>
    <row r="23" spans="1:15" ht="31.5" customHeight="1">
      <c r="A23" s="369"/>
      <c r="B23" s="370"/>
      <c r="C23" s="33" t="s">
        <v>187</v>
      </c>
      <c r="D23" s="60" t="s">
        <v>246</v>
      </c>
      <c r="E23" s="61" t="s">
        <v>254</v>
      </c>
      <c r="F23" s="64">
        <v>10000</v>
      </c>
      <c r="G23" s="65" t="s">
        <v>7</v>
      </c>
      <c r="H23" s="69" t="s">
        <v>6</v>
      </c>
      <c r="I23" s="68">
        <v>32</v>
      </c>
      <c r="J23" s="65" t="s">
        <v>248</v>
      </c>
      <c r="K23" s="65" t="s">
        <v>6</v>
      </c>
      <c r="L23" s="68">
        <v>3</v>
      </c>
      <c r="M23" s="65" t="s">
        <v>9</v>
      </c>
      <c r="N23" s="66">
        <f t="shared" si="0"/>
        <v>960000</v>
      </c>
      <c r="O23" s="66"/>
    </row>
    <row r="24" spans="1:15" ht="31.5" customHeight="1">
      <c r="A24" s="369"/>
      <c r="B24" s="370"/>
      <c r="C24" s="31"/>
      <c r="D24" s="65"/>
      <c r="E24" s="67"/>
      <c r="F24" s="64"/>
      <c r="G24" s="65"/>
      <c r="H24" s="69"/>
      <c r="I24" s="260"/>
      <c r="J24" s="254"/>
      <c r="K24" s="254"/>
      <c r="L24" s="260"/>
      <c r="M24" s="65"/>
      <c r="N24" s="66">
        <f t="shared" si="0"/>
        <v>0</v>
      </c>
      <c r="O24" s="66"/>
    </row>
    <row r="25" spans="1:15" ht="31.5" customHeight="1">
      <c r="A25" s="369"/>
      <c r="B25" s="370"/>
      <c r="C25" s="33" t="s">
        <v>175</v>
      </c>
      <c r="D25" s="65"/>
      <c r="E25" s="67"/>
      <c r="F25" s="64"/>
      <c r="G25" s="65"/>
      <c r="H25" s="69"/>
      <c r="I25" s="182"/>
      <c r="J25" s="65"/>
      <c r="K25" s="65"/>
      <c r="L25" s="182"/>
      <c r="M25" s="65"/>
      <c r="N25" s="66">
        <f t="shared" si="0"/>
        <v>0</v>
      </c>
      <c r="O25" s="66"/>
    </row>
    <row r="26" spans="1:15" ht="27" customHeight="1">
      <c r="A26" s="371" t="s">
        <v>210</v>
      </c>
      <c r="B26" s="372"/>
      <c r="C26" s="372"/>
      <c r="D26" s="372"/>
      <c r="E26" s="372"/>
      <c r="F26" s="372"/>
      <c r="G26" s="372"/>
      <c r="H26" s="372"/>
      <c r="I26" s="372"/>
      <c r="J26" s="372"/>
      <c r="K26" s="372"/>
      <c r="L26" s="372"/>
      <c r="M26" s="372"/>
      <c r="N26" s="46">
        <f>SUM(N5:N25)</f>
        <v>93503560</v>
      </c>
      <c r="O26" s="52"/>
    </row>
    <row r="27" spans="1:15" ht="18" thickBot="1">
      <c r="A27" s="6"/>
      <c r="B27" s="6"/>
      <c r="C27" s="6"/>
      <c r="D27" s="6"/>
      <c r="E27" s="6"/>
      <c r="F27" s="6"/>
      <c r="G27" s="6"/>
      <c r="H27" s="6"/>
      <c r="I27" s="184"/>
      <c r="J27" s="6"/>
      <c r="K27" s="6"/>
      <c r="L27" s="184"/>
      <c r="M27" s="6"/>
      <c r="N27" s="6"/>
      <c r="O27" s="6"/>
    </row>
    <row r="28" spans="1:15" ht="18.600000000000001" thickTop="1" thickBot="1">
      <c r="A28" s="357" t="s">
        <v>45</v>
      </c>
      <c r="B28" s="358"/>
      <c r="C28" s="358"/>
      <c r="D28" s="358"/>
      <c r="E28" s="359"/>
    </row>
    <row r="29" spans="1:15" ht="30" customHeight="1">
      <c r="A29" s="360" t="s">
        <v>192</v>
      </c>
      <c r="B29" s="361"/>
      <c r="C29" s="361"/>
      <c r="D29" s="361"/>
      <c r="E29" s="361"/>
      <c r="F29" s="361"/>
      <c r="G29" s="361"/>
      <c r="H29" s="361"/>
      <c r="I29" s="361"/>
      <c r="J29" s="361"/>
      <c r="K29" s="361"/>
      <c r="L29" s="361"/>
      <c r="M29" s="361"/>
      <c r="N29" s="361"/>
      <c r="O29" s="362"/>
    </row>
    <row r="30" spans="1:15" ht="30" customHeight="1">
      <c r="A30" s="363"/>
      <c r="B30" s="364"/>
      <c r="C30" s="364"/>
      <c r="D30" s="364"/>
      <c r="E30" s="364"/>
      <c r="F30" s="364"/>
      <c r="G30" s="364"/>
      <c r="H30" s="364"/>
      <c r="I30" s="364"/>
      <c r="J30" s="364"/>
      <c r="K30" s="364"/>
      <c r="L30" s="364"/>
      <c r="M30" s="364"/>
      <c r="N30" s="364"/>
      <c r="O30" s="365"/>
    </row>
    <row r="31" spans="1:15" ht="30" customHeight="1">
      <c r="A31" s="363"/>
      <c r="B31" s="364"/>
      <c r="C31" s="364"/>
      <c r="D31" s="364"/>
      <c r="E31" s="364"/>
      <c r="F31" s="364"/>
      <c r="G31" s="364"/>
      <c r="H31" s="364"/>
      <c r="I31" s="364"/>
      <c r="J31" s="364"/>
      <c r="K31" s="364"/>
      <c r="L31" s="364"/>
      <c r="M31" s="364"/>
      <c r="N31" s="364"/>
      <c r="O31" s="365"/>
    </row>
    <row r="32" spans="1:15" ht="30" customHeight="1">
      <c r="A32" s="363"/>
      <c r="B32" s="364"/>
      <c r="C32" s="364"/>
      <c r="D32" s="364"/>
      <c r="E32" s="364"/>
      <c r="F32" s="364"/>
      <c r="G32" s="364"/>
      <c r="H32" s="364"/>
      <c r="I32" s="364"/>
      <c r="J32" s="364"/>
      <c r="K32" s="364"/>
      <c r="L32" s="364"/>
      <c r="M32" s="364"/>
      <c r="N32" s="364"/>
      <c r="O32" s="365"/>
    </row>
    <row r="33" spans="1:15" ht="30" customHeight="1">
      <c r="A33" s="363"/>
      <c r="B33" s="364"/>
      <c r="C33" s="364"/>
      <c r="D33" s="364"/>
      <c r="E33" s="364"/>
      <c r="F33" s="364"/>
      <c r="G33" s="364"/>
      <c r="H33" s="364"/>
      <c r="I33" s="364"/>
      <c r="J33" s="364"/>
      <c r="K33" s="364"/>
      <c r="L33" s="364"/>
      <c r="M33" s="364"/>
      <c r="N33" s="364"/>
      <c r="O33" s="365"/>
    </row>
    <row r="34" spans="1:15" ht="30" customHeight="1">
      <c r="A34" s="363"/>
      <c r="B34" s="364"/>
      <c r="C34" s="364"/>
      <c r="D34" s="364"/>
      <c r="E34" s="364"/>
      <c r="F34" s="364"/>
      <c r="G34" s="364"/>
      <c r="H34" s="364"/>
      <c r="I34" s="364"/>
      <c r="J34" s="364"/>
      <c r="K34" s="364"/>
      <c r="L34" s="364"/>
      <c r="M34" s="364"/>
      <c r="N34" s="364"/>
      <c r="O34" s="365"/>
    </row>
    <row r="35" spans="1:15" ht="30" customHeight="1">
      <c r="A35" s="363"/>
      <c r="B35" s="364"/>
      <c r="C35" s="364"/>
      <c r="D35" s="364"/>
      <c r="E35" s="364"/>
      <c r="F35" s="364"/>
      <c r="G35" s="364"/>
      <c r="H35" s="364"/>
      <c r="I35" s="364"/>
      <c r="J35" s="364"/>
      <c r="K35" s="364"/>
      <c r="L35" s="364"/>
      <c r="M35" s="364"/>
      <c r="N35" s="364"/>
      <c r="O35" s="365"/>
    </row>
    <row r="36" spans="1:15" ht="30" customHeight="1" thickBot="1">
      <c r="A36" s="366"/>
      <c r="B36" s="367"/>
      <c r="C36" s="367"/>
      <c r="D36" s="367"/>
      <c r="E36" s="367"/>
      <c r="F36" s="367"/>
      <c r="G36" s="367"/>
      <c r="H36" s="367"/>
      <c r="I36" s="367"/>
      <c r="J36" s="367"/>
      <c r="K36" s="367"/>
      <c r="L36" s="367"/>
      <c r="M36" s="367"/>
      <c r="N36" s="367"/>
      <c r="O36" s="368"/>
    </row>
  </sheetData>
  <mergeCells count="14">
    <mergeCell ref="A5:A25"/>
    <mergeCell ref="B5:B25"/>
    <mergeCell ref="A26:M26"/>
    <mergeCell ref="A28:E28"/>
    <mergeCell ref="A29:O36"/>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6"/>
  <sheetViews>
    <sheetView view="pageBreakPreview" zoomScale="85" zoomScaleNormal="70" zoomScaleSheetLayoutView="85" workbookViewId="0">
      <selection activeCell="F5" sqref="F5:L5"/>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7.09765625" style="185" bestFit="1" customWidth="1"/>
    <col min="10" max="10" width="8.69921875" bestFit="1" customWidth="1"/>
    <col min="11" max="11" width="4.69921875" bestFit="1" customWidth="1"/>
    <col min="12" max="12" width="9.09765625" style="185" bestFit="1" customWidth="1"/>
    <col min="13" max="13" width="5.3984375" bestFit="1" customWidth="1"/>
    <col min="14" max="14" width="18.69921875" bestFit="1" customWidth="1"/>
    <col min="15" max="15" width="10" customWidth="1"/>
    <col min="20" max="20" width="11.3984375" bestFit="1" customWidth="1"/>
  </cols>
  <sheetData>
    <row r="1" spans="1:15" ht="25.8">
      <c r="A1" s="400" t="s">
        <v>1347</v>
      </c>
      <c r="B1" s="346"/>
      <c r="C1" s="346"/>
      <c r="D1" s="346"/>
      <c r="E1" s="346"/>
      <c r="F1" s="346"/>
      <c r="G1" s="346"/>
      <c r="H1" s="346"/>
      <c r="I1" s="346"/>
      <c r="J1" s="346"/>
      <c r="K1" s="346"/>
      <c r="L1" s="346"/>
      <c r="M1" s="346"/>
      <c r="N1" s="346"/>
      <c r="O1" s="346"/>
    </row>
    <row r="2" spans="1:15" ht="18" thickBot="1">
      <c r="A2" s="4"/>
      <c r="B2" s="4"/>
      <c r="C2" s="347"/>
      <c r="D2" s="347"/>
      <c r="E2" s="347"/>
      <c r="F2" s="347"/>
      <c r="G2" s="347"/>
      <c r="H2" s="347"/>
      <c r="I2" s="347"/>
      <c r="J2" s="347"/>
      <c r="K2" s="347"/>
      <c r="L2" s="347"/>
      <c r="M2" s="347"/>
      <c r="N2" s="347"/>
      <c r="O2" s="347"/>
    </row>
    <row r="3" spans="1:15">
      <c r="A3" s="348" t="s">
        <v>26</v>
      </c>
      <c r="B3" s="350" t="s">
        <v>27</v>
      </c>
      <c r="C3" s="350" t="s">
        <v>28</v>
      </c>
      <c r="D3" s="350" t="s">
        <v>176</v>
      </c>
      <c r="E3" s="352" t="s">
        <v>1</v>
      </c>
      <c r="F3" s="352"/>
      <c r="G3" s="352"/>
      <c r="H3" s="352"/>
      <c r="I3" s="352"/>
      <c r="J3" s="352"/>
      <c r="K3" s="352"/>
      <c r="L3" s="352"/>
      <c r="M3" s="352"/>
      <c r="N3" s="353" t="s">
        <v>2</v>
      </c>
      <c r="O3" s="355" t="s">
        <v>144</v>
      </c>
    </row>
    <row r="4" spans="1:15">
      <c r="A4" s="349"/>
      <c r="B4" s="351"/>
      <c r="C4" s="351"/>
      <c r="D4" s="351"/>
      <c r="E4" s="16" t="s">
        <v>41</v>
      </c>
      <c r="F4" s="16" t="s">
        <v>47</v>
      </c>
      <c r="G4" s="16" t="s">
        <v>42</v>
      </c>
      <c r="H4" s="16" t="s">
        <v>6</v>
      </c>
      <c r="I4" s="181" t="s">
        <v>48</v>
      </c>
      <c r="J4" s="16" t="s">
        <v>42</v>
      </c>
      <c r="K4" s="16" t="s">
        <v>6</v>
      </c>
      <c r="L4" s="181" t="s">
        <v>49</v>
      </c>
      <c r="M4" s="16" t="s">
        <v>42</v>
      </c>
      <c r="N4" s="354"/>
      <c r="O4" s="356"/>
    </row>
    <row r="5" spans="1:15" ht="31.5" customHeight="1">
      <c r="A5" s="369"/>
      <c r="B5" s="370" t="s">
        <v>52</v>
      </c>
      <c r="C5" s="29" t="s">
        <v>169</v>
      </c>
      <c r="D5" s="63" t="s">
        <v>227</v>
      </c>
      <c r="E5" s="63" t="s">
        <v>228</v>
      </c>
      <c r="F5" s="190">
        <v>40000</v>
      </c>
      <c r="G5" s="191" t="s">
        <v>7</v>
      </c>
      <c r="H5" s="191" t="s">
        <v>4</v>
      </c>
      <c r="I5" s="190">
        <v>9</v>
      </c>
      <c r="J5" s="189" t="s">
        <v>8</v>
      </c>
      <c r="K5" s="191" t="s">
        <v>4</v>
      </c>
      <c r="L5" s="190">
        <v>8</v>
      </c>
      <c r="M5" s="63" t="s">
        <v>18</v>
      </c>
      <c r="N5" s="66">
        <f t="shared" ref="N5:N25" si="0">F5*I5*L5</f>
        <v>2880000</v>
      </c>
      <c r="O5" s="66"/>
    </row>
    <row r="6" spans="1:15" ht="31.5" customHeight="1">
      <c r="A6" s="369"/>
      <c r="B6" s="370"/>
      <c r="C6" s="31"/>
      <c r="D6" s="65"/>
      <c r="E6" s="67"/>
      <c r="F6" s="64"/>
      <c r="G6" s="65" t="s">
        <v>7</v>
      </c>
      <c r="H6" s="65" t="s">
        <v>4</v>
      </c>
      <c r="I6" s="260"/>
      <c r="J6" s="254" t="s">
        <v>8</v>
      </c>
      <c r="K6" s="254" t="s">
        <v>6</v>
      </c>
      <c r="L6" s="260"/>
      <c r="M6" s="65" t="s">
        <v>9</v>
      </c>
      <c r="N6" s="66">
        <f t="shared" si="0"/>
        <v>0</v>
      </c>
      <c r="O6" s="66"/>
    </row>
    <row r="7" spans="1:15" ht="31.5" customHeight="1">
      <c r="A7" s="369"/>
      <c r="B7" s="370"/>
      <c r="C7" s="31"/>
      <c r="D7" s="65"/>
      <c r="E7" s="67"/>
      <c r="F7" s="64"/>
      <c r="G7" s="65" t="s">
        <v>7</v>
      </c>
      <c r="H7" s="65" t="s">
        <v>4</v>
      </c>
      <c r="I7" s="260"/>
      <c r="J7" s="254" t="s">
        <v>155</v>
      </c>
      <c r="K7" s="254" t="s">
        <v>6</v>
      </c>
      <c r="L7" s="260"/>
      <c r="M7" s="65" t="s">
        <v>9</v>
      </c>
      <c r="N7" s="66">
        <f t="shared" si="0"/>
        <v>0</v>
      </c>
      <c r="O7" s="66"/>
    </row>
    <row r="8" spans="1:15" ht="31.5" customHeight="1">
      <c r="A8" s="369"/>
      <c r="B8" s="370"/>
      <c r="C8" s="29" t="s">
        <v>170</v>
      </c>
      <c r="D8" s="65" t="s">
        <v>229</v>
      </c>
      <c r="E8" s="70" t="s">
        <v>252</v>
      </c>
      <c r="F8" s="64">
        <v>298000</v>
      </c>
      <c r="G8" s="65" t="s">
        <v>7</v>
      </c>
      <c r="H8" s="65" t="s">
        <v>4</v>
      </c>
      <c r="I8" s="260">
        <v>218</v>
      </c>
      <c r="J8" s="254" t="s">
        <v>24</v>
      </c>
      <c r="K8" s="254" t="s">
        <v>6</v>
      </c>
      <c r="L8" s="260">
        <v>1</v>
      </c>
      <c r="M8" s="65" t="s">
        <v>9</v>
      </c>
      <c r="N8" s="66">
        <f t="shared" si="0"/>
        <v>64964000</v>
      </c>
      <c r="O8" s="66"/>
    </row>
    <row r="9" spans="1:15" ht="31.5" customHeight="1">
      <c r="A9" s="369"/>
      <c r="B9" s="370"/>
      <c r="C9" s="33"/>
      <c r="D9" s="65" t="s">
        <v>232</v>
      </c>
      <c r="E9" s="67" t="s">
        <v>231</v>
      </c>
      <c r="F9" s="190">
        <v>5751</v>
      </c>
      <c r="G9" s="65" t="s">
        <v>7</v>
      </c>
      <c r="H9" s="65" t="s">
        <v>4</v>
      </c>
      <c r="I9" s="260">
        <v>20</v>
      </c>
      <c r="J9" s="254" t="s">
        <v>24</v>
      </c>
      <c r="K9" s="254" t="s">
        <v>6</v>
      </c>
      <c r="L9" s="260">
        <v>28</v>
      </c>
      <c r="M9" s="65" t="s">
        <v>9</v>
      </c>
      <c r="N9" s="66">
        <f t="shared" si="0"/>
        <v>3220560</v>
      </c>
      <c r="O9" s="66"/>
    </row>
    <row r="10" spans="1:15" ht="31.5" customHeight="1">
      <c r="A10" s="369"/>
      <c r="B10" s="370"/>
      <c r="C10" s="53" t="s">
        <v>171</v>
      </c>
      <c r="D10" s="65"/>
      <c r="E10" s="67"/>
      <c r="F10" s="64"/>
      <c r="G10" s="65" t="s">
        <v>7</v>
      </c>
      <c r="H10" s="65" t="s">
        <v>4</v>
      </c>
      <c r="I10" s="260"/>
      <c r="J10" s="254" t="s">
        <v>150</v>
      </c>
      <c r="K10" s="254" t="s">
        <v>6</v>
      </c>
      <c r="L10" s="260"/>
      <c r="M10" s="65" t="s">
        <v>9</v>
      </c>
      <c r="N10" s="66">
        <f t="shared" si="0"/>
        <v>0</v>
      </c>
      <c r="O10" s="66"/>
    </row>
    <row r="11" spans="1:15" ht="31.5" customHeight="1">
      <c r="A11" s="369"/>
      <c r="B11" s="370"/>
      <c r="C11" s="31"/>
      <c r="D11" s="65"/>
      <c r="E11" s="67"/>
      <c r="F11" s="64"/>
      <c r="G11" s="65"/>
      <c r="H11" s="65"/>
      <c r="I11" s="260"/>
      <c r="J11" s="254"/>
      <c r="K11" s="254"/>
      <c r="L11" s="260"/>
      <c r="M11" s="65"/>
      <c r="N11" s="66">
        <f t="shared" si="0"/>
        <v>0</v>
      </c>
      <c r="O11" s="66"/>
    </row>
    <row r="12" spans="1:15" ht="31.5" customHeight="1">
      <c r="A12" s="369"/>
      <c r="B12" s="370"/>
      <c r="C12" s="54" t="s">
        <v>172</v>
      </c>
      <c r="D12" s="65" t="s">
        <v>14</v>
      </c>
      <c r="E12" s="67" t="s">
        <v>233</v>
      </c>
      <c r="F12" s="64">
        <v>100000</v>
      </c>
      <c r="G12" s="65" t="s">
        <v>7</v>
      </c>
      <c r="H12" s="65" t="s">
        <v>4</v>
      </c>
      <c r="I12" s="260">
        <v>8</v>
      </c>
      <c r="J12" s="254" t="s">
        <v>241</v>
      </c>
      <c r="K12" s="254" t="s">
        <v>6</v>
      </c>
      <c r="L12" s="260">
        <v>36</v>
      </c>
      <c r="M12" s="65" t="s">
        <v>9</v>
      </c>
      <c r="N12" s="66">
        <f t="shared" si="0"/>
        <v>28800000</v>
      </c>
      <c r="O12" s="66"/>
    </row>
    <row r="13" spans="1:15" ht="31.5" customHeight="1">
      <c r="A13" s="369"/>
      <c r="B13" s="370"/>
      <c r="C13" s="31"/>
      <c r="D13" s="65" t="s">
        <v>14</v>
      </c>
      <c r="E13" s="67" t="s">
        <v>234</v>
      </c>
      <c r="F13" s="64">
        <v>60000</v>
      </c>
      <c r="G13" s="65" t="s">
        <v>7</v>
      </c>
      <c r="H13" s="69" t="s">
        <v>6</v>
      </c>
      <c r="I13" s="260">
        <v>8</v>
      </c>
      <c r="J13" s="254" t="s">
        <v>12</v>
      </c>
      <c r="K13" s="254" t="s">
        <v>6</v>
      </c>
      <c r="L13" s="260">
        <v>36</v>
      </c>
      <c r="M13" s="65" t="s">
        <v>9</v>
      </c>
      <c r="N13" s="66">
        <f t="shared" si="0"/>
        <v>17280000</v>
      </c>
      <c r="O13" s="66"/>
    </row>
    <row r="14" spans="1:15" ht="31.5" customHeight="1">
      <c r="A14" s="369"/>
      <c r="B14" s="370"/>
      <c r="C14" s="31"/>
      <c r="D14" s="65" t="s">
        <v>235</v>
      </c>
      <c r="E14" s="67" t="s">
        <v>236</v>
      </c>
      <c r="F14" s="64">
        <v>100000</v>
      </c>
      <c r="G14" s="68" t="s">
        <v>7</v>
      </c>
      <c r="H14" s="68" t="s">
        <v>6</v>
      </c>
      <c r="I14" s="265">
        <v>1</v>
      </c>
      <c r="J14" s="265" t="s">
        <v>12</v>
      </c>
      <c r="K14" s="265" t="s">
        <v>6</v>
      </c>
      <c r="L14" s="274">
        <v>40</v>
      </c>
      <c r="M14" s="68" t="s">
        <v>9</v>
      </c>
      <c r="N14" s="66">
        <f>F14*I14*L14</f>
        <v>4000000</v>
      </c>
      <c r="O14" s="66"/>
    </row>
    <row r="15" spans="1:15" ht="31.5" customHeight="1">
      <c r="A15" s="369"/>
      <c r="B15" s="370"/>
      <c r="C15" s="31"/>
      <c r="D15" s="65" t="s">
        <v>237</v>
      </c>
      <c r="E15" s="70" t="s">
        <v>238</v>
      </c>
      <c r="F15" s="64">
        <v>250000</v>
      </c>
      <c r="G15" s="65" t="s">
        <v>7</v>
      </c>
      <c r="H15" s="65" t="s">
        <v>4</v>
      </c>
      <c r="I15" s="260">
        <v>1</v>
      </c>
      <c r="J15" s="254" t="s">
        <v>12</v>
      </c>
      <c r="K15" s="254" t="s">
        <v>6</v>
      </c>
      <c r="L15" s="260">
        <v>8</v>
      </c>
      <c r="M15" s="65" t="s">
        <v>9</v>
      </c>
      <c r="N15" s="66">
        <f t="shared" si="0"/>
        <v>2000000</v>
      </c>
      <c r="O15" s="66"/>
    </row>
    <row r="16" spans="1:15" ht="31.5" customHeight="1">
      <c r="A16" s="369"/>
      <c r="B16" s="370"/>
      <c r="C16" s="31"/>
      <c r="D16" s="65" t="s">
        <v>247</v>
      </c>
      <c r="E16" s="70" t="s">
        <v>247</v>
      </c>
      <c r="F16" s="64">
        <v>10000</v>
      </c>
      <c r="G16" s="65" t="s">
        <v>7</v>
      </c>
      <c r="H16" s="65" t="s">
        <v>4</v>
      </c>
      <c r="I16" s="68">
        <v>1</v>
      </c>
      <c r="J16" s="65" t="s">
        <v>12</v>
      </c>
      <c r="K16" s="65" t="s">
        <v>6</v>
      </c>
      <c r="L16" s="68">
        <v>28</v>
      </c>
      <c r="M16" s="65" t="s">
        <v>9</v>
      </c>
      <c r="N16" s="66">
        <f t="shared" si="0"/>
        <v>280000</v>
      </c>
      <c r="O16" s="66"/>
    </row>
    <row r="17" spans="1:21" ht="31.5" customHeight="1">
      <c r="A17" s="369"/>
      <c r="B17" s="370"/>
      <c r="C17" s="54" t="s">
        <v>182</v>
      </c>
      <c r="D17" s="60" t="s">
        <v>183</v>
      </c>
      <c r="E17" s="61" t="s">
        <v>239</v>
      </c>
      <c r="F17" s="64">
        <v>20000</v>
      </c>
      <c r="G17" s="65" t="s">
        <v>7</v>
      </c>
      <c r="H17" s="69" t="s">
        <v>6</v>
      </c>
      <c r="I17" s="68">
        <v>8</v>
      </c>
      <c r="J17" s="65" t="s">
        <v>12</v>
      </c>
      <c r="K17" s="65" t="s">
        <v>6</v>
      </c>
      <c r="L17" s="68">
        <v>22</v>
      </c>
      <c r="M17" s="65" t="s">
        <v>9</v>
      </c>
      <c r="N17" s="66">
        <f t="shared" si="0"/>
        <v>3520000</v>
      </c>
      <c r="O17" s="66"/>
      <c r="T17" s="79"/>
    </row>
    <row r="18" spans="1:21" ht="31.5" customHeight="1">
      <c r="A18" s="369"/>
      <c r="B18" s="370"/>
      <c r="C18" s="31"/>
      <c r="D18" s="60"/>
      <c r="E18" s="61" t="s">
        <v>240</v>
      </c>
      <c r="F18" s="64">
        <v>20000</v>
      </c>
      <c r="G18" s="65" t="s">
        <v>7</v>
      </c>
      <c r="H18" s="69" t="s">
        <v>6</v>
      </c>
      <c r="I18" s="68">
        <v>8</v>
      </c>
      <c r="J18" s="65" t="s">
        <v>12</v>
      </c>
      <c r="K18" s="65" t="s">
        <v>6</v>
      </c>
      <c r="L18" s="68">
        <v>22</v>
      </c>
      <c r="M18" s="65" t="s">
        <v>9</v>
      </c>
      <c r="N18" s="66">
        <f t="shared" ref="N18:N19" si="1">F18*I18*L18</f>
        <v>3520000</v>
      </c>
      <c r="O18" s="66"/>
      <c r="T18" s="80"/>
    </row>
    <row r="19" spans="1:21" ht="31.5" customHeight="1">
      <c r="A19" s="369"/>
      <c r="B19" s="370"/>
      <c r="C19" s="33" t="s">
        <v>173</v>
      </c>
      <c r="D19" s="60" t="s">
        <v>242</v>
      </c>
      <c r="E19" s="62" t="s">
        <v>249</v>
      </c>
      <c r="F19" s="64">
        <v>25000</v>
      </c>
      <c r="G19" s="65" t="s">
        <v>7</v>
      </c>
      <c r="H19" s="69" t="s">
        <v>6</v>
      </c>
      <c r="I19" s="68">
        <v>40</v>
      </c>
      <c r="J19" s="65" t="s">
        <v>241</v>
      </c>
      <c r="K19" s="65" t="s">
        <v>6</v>
      </c>
      <c r="L19" s="68">
        <v>1</v>
      </c>
      <c r="M19" s="254" t="s">
        <v>9</v>
      </c>
      <c r="N19" s="66">
        <f t="shared" si="1"/>
        <v>1000000</v>
      </c>
      <c r="O19" s="66"/>
      <c r="T19" s="80"/>
    </row>
    <row r="20" spans="1:21" ht="31.5" customHeight="1">
      <c r="A20" s="369"/>
      <c r="B20" s="370"/>
      <c r="C20" s="33"/>
      <c r="D20" s="60" t="s">
        <v>243</v>
      </c>
      <c r="E20" s="61" t="s">
        <v>244</v>
      </c>
      <c r="F20" s="64">
        <v>10000</v>
      </c>
      <c r="G20" s="65" t="s">
        <v>7</v>
      </c>
      <c r="H20" s="69" t="s">
        <v>6</v>
      </c>
      <c r="I20" s="68">
        <v>22</v>
      </c>
      <c r="J20" s="65" t="s">
        <v>12</v>
      </c>
      <c r="K20" s="65" t="s">
        <v>6</v>
      </c>
      <c r="L20" s="68">
        <v>58</v>
      </c>
      <c r="M20" s="65" t="s">
        <v>9</v>
      </c>
      <c r="N20" s="66">
        <f t="shared" si="0"/>
        <v>12760000</v>
      </c>
      <c r="O20" s="66"/>
      <c r="T20" s="80"/>
    </row>
    <row r="21" spans="1:21" ht="31.5" customHeight="1">
      <c r="A21" s="369"/>
      <c r="B21" s="370"/>
      <c r="C21" s="54" t="s">
        <v>174</v>
      </c>
      <c r="D21" s="60" t="s">
        <v>245</v>
      </c>
      <c r="E21" s="61" t="s">
        <v>245</v>
      </c>
      <c r="F21" s="64">
        <v>500</v>
      </c>
      <c r="G21" s="68" t="s">
        <v>7</v>
      </c>
      <c r="H21" s="68" t="s">
        <v>6</v>
      </c>
      <c r="I21" s="265">
        <v>20</v>
      </c>
      <c r="J21" s="265" t="s">
        <v>12</v>
      </c>
      <c r="K21" s="265" t="s">
        <v>6</v>
      </c>
      <c r="L21" s="274">
        <v>27</v>
      </c>
      <c r="M21" s="68" t="s">
        <v>9</v>
      </c>
      <c r="N21" s="66">
        <f t="shared" si="0"/>
        <v>270000</v>
      </c>
      <c r="O21" s="66"/>
    </row>
    <row r="22" spans="1:21" ht="31.5" customHeight="1">
      <c r="A22" s="369"/>
      <c r="B22" s="370"/>
      <c r="C22" s="33"/>
      <c r="D22" s="65"/>
      <c r="E22" s="71"/>
      <c r="F22" s="64"/>
      <c r="G22" s="68"/>
      <c r="H22" s="65"/>
      <c r="I22" s="260"/>
      <c r="J22" s="255"/>
      <c r="K22" s="255"/>
      <c r="L22" s="260"/>
      <c r="M22" s="68"/>
      <c r="N22" s="66">
        <f t="shared" si="0"/>
        <v>0</v>
      </c>
      <c r="O22" s="66"/>
    </row>
    <row r="23" spans="1:21" ht="31.5" customHeight="1">
      <c r="A23" s="369"/>
      <c r="B23" s="370"/>
      <c r="C23" s="33" t="s">
        <v>187</v>
      </c>
      <c r="D23" s="60" t="s">
        <v>246</v>
      </c>
      <c r="E23" s="61" t="s">
        <v>254</v>
      </c>
      <c r="F23" s="64">
        <v>10000</v>
      </c>
      <c r="G23" s="65" t="s">
        <v>7</v>
      </c>
      <c r="H23" s="69" t="s">
        <v>6</v>
      </c>
      <c r="I23" s="68">
        <v>32</v>
      </c>
      <c r="J23" s="65" t="s">
        <v>248</v>
      </c>
      <c r="K23" s="65" t="s">
        <v>6</v>
      </c>
      <c r="L23" s="68">
        <v>3</v>
      </c>
      <c r="M23" s="65" t="s">
        <v>9</v>
      </c>
      <c r="N23" s="66">
        <f t="shared" si="0"/>
        <v>960000</v>
      </c>
      <c r="O23" s="66"/>
    </row>
    <row r="24" spans="1:21" ht="31.5" customHeight="1">
      <c r="A24" s="369"/>
      <c r="B24" s="370"/>
      <c r="C24" s="31"/>
      <c r="D24" s="65"/>
      <c r="E24" s="67"/>
      <c r="F24" s="64"/>
      <c r="G24" s="65"/>
      <c r="H24" s="69"/>
      <c r="I24" s="182"/>
      <c r="J24" s="65"/>
      <c r="K24" s="65"/>
      <c r="L24" s="182"/>
      <c r="M24" s="65"/>
      <c r="N24" s="66">
        <f t="shared" si="0"/>
        <v>0</v>
      </c>
      <c r="O24" s="66"/>
    </row>
    <row r="25" spans="1:21" ht="31.5" customHeight="1">
      <c r="A25" s="369"/>
      <c r="B25" s="370"/>
      <c r="C25" s="33" t="s">
        <v>175</v>
      </c>
      <c r="D25" s="65"/>
      <c r="E25" s="67"/>
      <c r="F25" s="64"/>
      <c r="G25" s="65"/>
      <c r="H25" s="69"/>
      <c r="I25" s="182"/>
      <c r="J25" s="65"/>
      <c r="K25" s="65"/>
      <c r="L25" s="182"/>
      <c r="M25" s="65"/>
      <c r="N25" s="66">
        <f t="shared" si="0"/>
        <v>0</v>
      </c>
      <c r="O25" s="66"/>
    </row>
    <row r="26" spans="1:21" ht="27" customHeight="1">
      <c r="A26" s="371" t="s">
        <v>210</v>
      </c>
      <c r="B26" s="372"/>
      <c r="C26" s="372"/>
      <c r="D26" s="372"/>
      <c r="E26" s="372"/>
      <c r="F26" s="372"/>
      <c r="G26" s="372"/>
      <c r="H26" s="372"/>
      <c r="I26" s="372"/>
      <c r="J26" s="372"/>
      <c r="K26" s="372"/>
      <c r="L26" s="372"/>
      <c r="M26" s="372"/>
      <c r="N26" s="46">
        <f>SUM(N5:N25)</f>
        <v>145454560</v>
      </c>
      <c r="O26" s="52"/>
    </row>
    <row r="27" spans="1:21" ht="18" thickBot="1">
      <c r="A27" s="6"/>
      <c r="B27" s="6"/>
      <c r="C27" s="6"/>
      <c r="D27" s="6"/>
      <c r="E27" s="6"/>
      <c r="F27" s="6"/>
      <c r="G27" s="6"/>
      <c r="H27" s="6"/>
      <c r="I27" s="184"/>
      <c r="J27" s="6"/>
      <c r="K27" s="6"/>
      <c r="L27" s="184"/>
      <c r="M27" s="6"/>
      <c r="N27" s="6"/>
      <c r="O27" s="6"/>
    </row>
    <row r="28" spans="1:21" ht="18.600000000000001" thickTop="1" thickBot="1">
      <c r="A28" s="357" t="s">
        <v>45</v>
      </c>
      <c r="B28" s="358"/>
      <c r="C28" s="358"/>
      <c r="D28" s="358"/>
      <c r="E28" s="359"/>
      <c r="U28" t="s">
        <v>46</v>
      </c>
    </row>
    <row r="29" spans="1:21" ht="30" customHeight="1">
      <c r="A29" s="360" t="s">
        <v>192</v>
      </c>
      <c r="B29" s="361"/>
      <c r="C29" s="361"/>
      <c r="D29" s="361"/>
      <c r="E29" s="361"/>
      <c r="F29" s="361"/>
      <c r="G29" s="361"/>
      <c r="H29" s="361"/>
      <c r="I29" s="361"/>
      <c r="J29" s="361"/>
      <c r="K29" s="361"/>
      <c r="L29" s="361"/>
      <c r="M29" s="361"/>
      <c r="N29" s="361"/>
      <c r="O29" s="362"/>
    </row>
    <row r="30" spans="1:21" ht="30" customHeight="1">
      <c r="A30" s="363"/>
      <c r="B30" s="364"/>
      <c r="C30" s="364"/>
      <c r="D30" s="364"/>
      <c r="E30" s="364"/>
      <c r="F30" s="364"/>
      <c r="G30" s="364"/>
      <c r="H30" s="364"/>
      <c r="I30" s="364"/>
      <c r="J30" s="364"/>
      <c r="K30" s="364"/>
      <c r="L30" s="364"/>
      <c r="M30" s="364"/>
      <c r="N30" s="364"/>
      <c r="O30" s="365"/>
    </row>
    <row r="31" spans="1:21" ht="30" customHeight="1">
      <c r="A31" s="363"/>
      <c r="B31" s="364"/>
      <c r="C31" s="364"/>
      <c r="D31" s="364"/>
      <c r="E31" s="364"/>
      <c r="F31" s="364"/>
      <c r="G31" s="364"/>
      <c r="H31" s="364"/>
      <c r="I31" s="364"/>
      <c r="J31" s="364"/>
      <c r="K31" s="364"/>
      <c r="L31" s="364"/>
      <c r="M31" s="364"/>
      <c r="N31" s="364"/>
      <c r="O31" s="365"/>
    </row>
    <row r="32" spans="1:21" ht="30" customHeight="1">
      <c r="A32" s="363"/>
      <c r="B32" s="364"/>
      <c r="C32" s="364"/>
      <c r="D32" s="364"/>
      <c r="E32" s="364"/>
      <c r="F32" s="364"/>
      <c r="G32" s="364"/>
      <c r="H32" s="364"/>
      <c r="I32" s="364"/>
      <c r="J32" s="364"/>
      <c r="K32" s="364"/>
      <c r="L32" s="364"/>
      <c r="M32" s="364"/>
      <c r="N32" s="364"/>
      <c r="O32" s="365"/>
      <c r="T32" t="s">
        <v>190</v>
      </c>
    </row>
    <row r="33" spans="1:15" ht="30" customHeight="1">
      <c r="A33" s="363"/>
      <c r="B33" s="364"/>
      <c r="C33" s="364"/>
      <c r="D33" s="364"/>
      <c r="E33" s="364"/>
      <c r="F33" s="364"/>
      <c r="G33" s="364"/>
      <c r="H33" s="364"/>
      <c r="I33" s="364"/>
      <c r="J33" s="364"/>
      <c r="K33" s="364"/>
      <c r="L33" s="364"/>
      <c r="M33" s="364"/>
      <c r="N33" s="364"/>
      <c r="O33" s="365"/>
    </row>
    <row r="34" spans="1:15" ht="30" customHeight="1">
      <c r="A34" s="363"/>
      <c r="B34" s="364"/>
      <c r="C34" s="364"/>
      <c r="D34" s="364"/>
      <c r="E34" s="364"/>
      <c r="F34" s="364"/>
      <c r="G34" s="364"/>
      <c r="H34" s="364"/>
      <c r="I34" s="364"/>
      <c r="J34" s="364"/>
      <c r="K34" s="364"/>
      <c r="L34" s="364"/>
      <c r="M34" s="364"/>
      <c r="N34" s="364"/>
      <c r="O34" s="365"/>
    </row>
    <row r="35" spans="1:15" ht="30" customHeight="1">
      <c r="A35" s="363"/>
      <c r="B35" s="364"/>
      <c r="C35" s="364"/>
      <c r="D35" s="364"/>
      <c r="E35" s="364"/>
      <c r="F35" s="364"/>
      <c r="G35" s="364"/>
      <c r="H35" s="364"/>
      <c r="I35" s="364"/>
      <c r="J35" s="364"/>
      <c r="K35" s="364"/>
      <c r="L35" s="364"/>
      <c r="M35" s="364"/>
      <c r="N35" s="364"/>
      <c r="O35" s="365"/>
    </row>
    <row r="36" spans="1:15" ht="30" customHeight="1" thickBot="1">
      <c r="A36" s="366"/>
      <c r="B36" s="367"/>
      <c r="C36" s="367"/>
      <c r="D36" s="367"/>
      <c r="E36" s="367"/>
      <c r="F36" s="367"/>
      <c r="G36" s="367"/>
      <c r="H36" s="367"/>
      <c r="I36" s="367"/>
      <c r="J36" s="367"/>
      <c r="K36" s="367"/>
      <c r="L36" s="367"/>
      <c r="M36" s="367"/>
      <c r="N36" s="367"/>
      <c r="O36" s="368"/>
    </row>
  </sheetData>
  <mergeCells count="14">
    <mergeCell ref="A5:A25"/>
    <mergeCell ref="B5:B25"/>
    <mergeCell ref="A26:M26"/>
    <mergeCell ref="A28:E28"/>
    <mergeCell ref="A29:O36"/>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6"/>
  <sheetViews>
    <sheetView view="pageBreakPreview" zoomScale="85" zoomScaleNormal="70" zoomScaleSheetLayoutView="85" workbookViewId="0">
      <selection activeCell="F7" sqref="F7"/>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7.09765625" style="185" bestFit="1" customWidth="1"/>
    <col min="10" max="10" width="8.69921875" bestFit="1" customWidth="1"/>
    <col min="11" max="11" width="4.69921875" bestFit="1" customWidth="1"/>
    <col min="12" max="12" width="9.09765625" style="185" bestFit="1" customWidth="1"/>
    <col min="13" max="13" width="5.3984375" bestFit="1" customWidth="1"/>
    <col min="14" max="14" width="18.09765625" customWidth="1"/>
    <col min="15" max="15" width="10" customWidth="1"/>
    <col min="19" max="19" width="12" customWidth="1"/>
    <col min="20" max="20" width="11.3984375" bestFit="1" customWidth="1"/>
  </cols>
  <sheetData>
    <row r="1" spans="1:19" ht="25.8">
      <c r="A1" s="400" t="s">
        <v>1349</v>
      </c>
      <c r="B1" s="346"/>
      <c r="C1" s="346"/>
      <c r="D1" s="346"/>
      <c r="E1" s="346"/>
      <c r="F1" s="346"/>
      <c r="G1" s="346"/>
      <c r="H1" s="346"/>
      <c r="I1" s="346"/>
      <c r="J1" s="346"/>
      <c r="K1" s="346"/>
      <c r="L1" s="346"/>
      <c r="M1" s="346"/>
      <c r="N1" s="346"/>
      <c r="O1" s="346"/>
    </row>
    <row r="2" spans="1:19" ht="18" thickBot="1">
      <c r="A2" s="4"/>
      <c r="B2" s="4"/>
      <c r="C2" s="347"/>
      <c r="D2" s="347"/>
      <c r="E2" s="347"/>
      <c r="F2" s="347"/>
      <c r="G2" s="347"/>
      <c r="H2" s="347"/>
      <c r="I2" s="347"/>
      <c r="J2" s="347"/>
      <c r="K2" s="347"/>
      <c r="L2" s="347"/>
      <c r="M2" s="347"/>
      <c r="N2" s="347"/>
      <c r="O2" s="347"/>
    </row>
    <row r="3" spans="1:19">
      <c r="A3" s="348" t="s">
        <v>26</v>
      </c>
      <c r="B3" s="350" t="s">
        <v>27</v>
      </c>
      <c r="C3" s="350" t="s">
        <v>28</v>
      </c>
      <c r="D3" s="350" t="s">
        <v>176</v>
      </c>
      <c r="E3" s="352" t="s">
        <v>1</v>
      </c>
      <c r="F3" s="352"/>
      <c r="G3" s="352"/>
      <c r="H3" s="352"/>
      <c r="I3" s="352"/>
      <c r="J3" s="352"/>
      <c r="K3" s="352"/>
      <c r="L3" s="352"/>
      <c r="M3" s="352"/>
      <c r="N3" s="353" t="s">
        <v>2</v>
      </c>
      <c r="O3" s="355" t="s">
        <v>144</v>
      </c>
    </row>
    <row r="4" spans="1:19">
      <c r="A4" s="349"/>
      <c r="B4" s="351"/>
      <c r="C4" s="351"/>
      <c r="D4" s="351"/>
      <c r="E4" s="16" t="s">
        <v>41</v>
      </c>
      <c r="F4" s="16" t="s">
        <v>47</v>
      </c>
      <c r="G4" s="16" t="s">
        <v>42</v>
      </c>
      <c r="H4" s="16" t="s">
        <v>6</v>
      </c>
      <c r="I4" s="16" t="s">
        <v>48</v>
      </c>
      <c r="J4" s="16" t="s">
        <v>42</v>
      </c>
      <c r="K4" s="16" t="s">
        <v>6</v>
      </c>
      <c r="L4" s="16" t="s">
        <v>49</v>
      </c>
      <c r="M4" s="16" t="s">
        <v>42</v>
      </c>
      <c r="N4" s="354"/>
      <c r="O4" s="356"/>
    </row>
    <row r="5" spans="1:19" ht="31.5" customHeight="1">
      <c r="A5" s="369"/>
      <c r="B5" s="370" t="s">
        <v>52</v>
      </c>
      <c r="C5" s="29" t="s">
        <v>169</v>
      </c>
      <c r="D5" s="63" t="s">
        <v>227</v>
      </c>
      <c r="E5" s="63" t="s">
        <v>228</v>
      </c>
      <c r="F5" s="190">
        <v>40000</v>
      </c>
      <c r="G5" s="191" t="s">
        <v>7</v>
      </c>
      <c r="H5" s="191" t="s">
        <v>4</v>
      </c>
      <c r="I5" s="190">
        <v>9</v>
      </c>
      <c r="J5" s="189" t="s">
        <v>8</v>
      </c>
      <c r="K5" s="191" t="s">
        <v>4</v>
      </c>
      <c r="L5" s="190">
        <v>8</v>
      </c>
      <c r="M5" s="63" t="s">
        <v>18</v>
      </c>
      <c r="N5" s="66">
        <f t="shared" ref="N5:N25" si="0">F5*I5*L5</f>
        <v>2880000</v>
      </c>
      <c r="O5" s="66"/>
    </row>
    <row r="6" spans="1:19" ht="31.5" customHeight="1">
      <c r="A6" s="369"/>
      <c r="B6" s="370"/>
      <c r="C6" s="31"/>
      <c r="D6" s="65" t="s">
        <v>227</v>
      </c>
      <c r="E6" s="271" t="s">
        <v>1367</v>
      </c>
      <c r="F6" s="272">
        <v>230000</v>
      </c>
      <c r="G6" s="65" t="s">
        <v>1369</v>
      </c>
      <c r="H6" s="65" t="s">
        <v>4</v>
      </c>
      <c r="I6" s="273">
        <v>1</v>
      </c>
      <c r="J6" s="65" t="s">
        <v>1358</v>
      </c>
      <c r="K6" s="65" t="s">
        <v>1370</v>
      </c>
      <c r="L6" s="273">
        <v>1</v>
      </c>
      <c r="M6" s="65" t="s">
        <v>1371</v>
      </c>
      <c r="N6" s="66">
        <f t="shared" si="0"/>
        <v>230000</v>
      </c>
      <c r="O6" s="66"/>
    </row>
    <row r="7" spans="1:19" ht="31.5" customHeight="1">
      <c r="A7" s="369"/>
      <c r="B7" s="370"/>
      <c r="C7" s="31"/>
      <c r="D7" s="65"/>
      <c r="E7" s="67"/>
      <c r="F7" s="64"/>
      <c r="G7" s="65" t="s">
        <v>7</v>
      </c>
      <c r="H7" s="65" t="s">
        <v>4</v>
      </c>
      <c r="I7" s="260"/>
      <c r="J7" s="254" t="s">
        <v>155</v>
      </c>
      <c r="K7" s="254" t="s">
        <v>6</v>
      </c>
      <c r="L7" s="260"/>
      <c r="M7" s="65" t="s">
        <v>9</v>
      </c>
      <c r="N7" s="66">
        <f t="shared" si="0"/>
        <v>0</v>
      </c>
      <c r="O7" s="66"/>
    </row>
    <row r="8" spans="1:19" ht="31.5" customHeight="1">
      <c r="A8" s="369"/>
      <c r="B8" s="370"/>
      <c r="C8" s="29" t="s">
        <v>170</v>
      </c>
      <c r="D8" s="65" t="s">
        <v>229</v>
      </c>
      <c r="E8" s="70" t="s">
        <v>253</v>
      </c>
      <c r="F8" s="64">
        <v>77000</v>
      </c>
      <c r="G8" s="65" t="s">
        <v>7</v>
      </c>
      <c r="H8" s="65" t="s">
        <v>4</v>
      </c>
      <c r="I8" s="260">
        <v>175</v>
      </c>
      <c r="J8" s="254" t="s">
        <v>24</v>
      </c>
      <c r="K8" s="254" t="s">
        <v>6</v>
      </c>
      <c r="L8" s="260">
        <v>1</v>
      </c>
      <c r="M8" s="65" t="s">
        <v>9</v>
      </c>
      <c r="N8" s="180">
        <f t="shared" si="0"/>
        <v>13475000</v>
      </c>
      <c r="O8" s="66"/>
    </row>
    <row r="9" spans="1:19" ht="31.5" customHeight="1">
      <c r="A9" s="369"/>
      <c r="B9" s="370"/>
      <c r="C9" s="33"/>
      <c r="D9" s="65" t="s">
        <v>232</v>
      </c>
      <c r="E9" s="67" t="s">
        <v>231</v>
      </c>
      <c r="F9" s="190">
        <v>5751</v>
      </c>
      <c r="G9" s="65" t="s">
        <v>7</v>
      </c>
      <c r="H9" s="65" t="s">
        <v>4</v>
      </c>
      <c r="I9" s="260">
        <v>20</v>
      </c>
      <c r="J9" s="254" t="s">
        <v>24</v>
      </c>
      <c r="K9" s="254" t="s">
        <v>6</v>
      </c>
      <c r="L9" s="260">
        <v>28</v>
      </c>
      <c r="M9" s="65" t="s">
        <v>9</v>
      </c>
      <c r="N9" s="66">
        <f t="shared" si="0"/>
        <v>3220560</v>
      </c>
      <c r="O9" s="66"/>
      <c r="S9" s="79"/>
    </row>
    <row r="10" spans="1:19" ht="31.5" customHeight="1">
      <c r="A10" s="369"/>
      <c r="B10" s="370"/>
      <c r="C10" s="53" t="s">
        <v>171</v>
      </c>
      <c r="D10" s="65"/>
      <c r="E10" s="67"/>
      <c r="F10" s="64"/>
      <c r="G10" s="65" t="s">
        <v>7</v>
      </c>
      <c r="H10" s="65" t="s">
        <v>4</v>
      </c>
      <c r="I10" s="260"/>
      <c r="J10" s="254" t="s">
        <v>150</v>
      </c>
      <c r="K10" s="254" t="s">
        <v>6</v>
      </c>
      <c r="L10" s="260"/>
      <c r="M10" s="65" t="s">
        <v>9</v>
      </c>
      <c r="N10" s="66">
        <f t="shared" si="0"/>
        <v>0</v>
      </c>
      <c r="O10" s="66"/>
    </row>
    <row r="11" spans="1:19" ht="31.5" customHeight="1">
      <c r="A11" s="369"/>
      <c r="B11" s="370"/>
      <c r="C11" s="31"/>
      <c r="D11" s="65"/>
      <c r="E11" s="67"/>
      <c r="F11" s="64"/>
      <c r="G11" s="65"/>
      <c r="H11" s="65"/>
      <c r="I11" s="260"/>
      <c r="J11" s="254"/>
      <c r="K11" s="254"/>
      <c r="L11" s="260"/>
      <c r="M11" s="65"/>
      <c r="N11" s="66">
        <f t="shared" si="0"/>
        <v>0</v>
      </c>
      <c r="O11" s="66"/>
      <c r="S11" s="80"/>
    </row>
    <row r="12" spans="1:19" ht="31.5" customHeight="1">
      <c r="A12" s="369"/>
      <c r="B12" s="370"/>
      <c r="C12" s="54" t="s">
        <v>172</v>
      </c>
      <c r="D12" s="65" t="s">
        <v>14</v>
      </c>
      <c r="E12" s="67" t="s">
        <v>233</v>
      </c>
      <c r="F12" s="64">
        <v>100000</v>
      </c>
      <c r="G12" s="65" t="s">
        <v>7</v>
      </c>
      <c r="H12" s="65" t="s">
        <v>4</v>
      </c>
      <c r="I12" s="260">
        <v>8</v>
      </c>
      <c r="J12" s="254" t="s">
        <v>241</v>
      </c>
      <c r="K12" s="254" t="s">
        <v>6</v>
      </c>
      <c r="L12" s="260">
        <v>36</v>
      </c>
      <c r="M12" s="65" t="s">
        <v>9</v>
      </c>
      <c r="N12" s="66">
        <f t="shared" si="0"/>
        <v>28800000</v>
      </c>
      <c r="O12" s="66"/>
    </row>
    <row r="13" spans="1:19" ht="31.5" customHeight="1">
      <c r="A13" s="369"/>
      <c r="B13" s="370"/>
      <c r="C13" s="31"/>
      <c r="D13" s="65" t="s">
        <v>14</v>
      </c>
      <c r="E13" s="67" t="s">
        <v>234</v>
      </c>
      <c r="F13" s="64">
        <v>60000</v>
      </c>
      <c r="G13" s="65" t="s">
        <v>7</v>
      </c>
      <c r="H13" s="69" t="s">
        <v>6</v>
      </c>
      <c r="I13" s="260">
        <v>8</v>
      </c>
      <c r="J13" s="254" t="s">
        <v>12</v>
      </c>
      <c r="K13" s="254" t="s">
        <v>6</v>
      </c>
      <c r="L13" s="260">
        <v>36</v>
      </c>
      <c r="M13" s="65" t="s">
        <v>9</v>
      </c>
      <c r="N13" s="66">
        <f t="shared" si="0"/>
        <v>17280000</v>
      </c>
      <c r="O13" s="66"/>
    </row>
    <row r="14" spans="1:19" ht="31.5" customHeight="1">
      <c r="A14" s="369"/>
      <c r="B14" s="370"/>
      <c r="C14" s="31"/>
      <c r="D14" s="65" t="s">
        <v>235</v>
      </c>
      <c r="E14" s="67" t="s">
        <v>236</v>
      </c>
      <c r="F14" s="64">
        <v>100000</v>
      </c>
      <c r="G14" s="68" t="s">
        <v>7</v>
      </c>
      <c r="H14" s="68" t="s">
        <v>6</v>
      </c>
      <c r="I14" s="265">
        <v>1</v>
      </c>
      <c r="J14" s="265" t="s">
        <v>12</v>
      </c>
      <c r="K14" s="265" t="s">
        <v>6</v>
      </c>
      <c r="L14" s="274">
        <v>40</v>
      </c>
      <c r="M14" s="68" t="s">
        <v>9</v>
      </c>
      <c r="N14" s="66">
        <f>F14*I14*L14</f>
        <v>4000000</v>
      </c>
      <c r="O14" s="66"/>
    </row>
    <row r="15" spans="1:19" ht="31.5" customHeight="1">
      <c r="A15" s="369"/>
      <c r="B15" s="370"/>
      <c r="C15" s="31"/>
      <c r="D15" s="65" t="s">
        <v>237</v>
      </c>
      <c r="E15" s="70" t="s">
        <v>238</v>
      </c>
      <c r="F15" s="64">
        <v>250000</v>
      </c>
      <c r="G15" s="65" t="s">
        <v>7</v>
      </c>
      <c r="H15" s="65" t="s">
        <v>4</v>
      </c>
      <c r="I15" s="260">
        <v>1</v>
      </c>
      <c r="J15" s="254" t="s">
        <v>12</v>
      </c>
      <c r="K15" s="254" t="s">
        <v>6</v>
      </c>
      <c r="L15" s="260">
        <v>8</v>
      </c>
      <c r="M15" s="65" t="s">
        <v>9</v>
      </c>
      <c r="N15" s="66">
        <f t="shared" si="0"/>
        <v>2000000</v>
      </c>
      <c r="O15" s="66"/>
    </row>
    <row r="16" spans="1:19" ht="31.5" customHeight="1">
      <c r="A16" s="369"/>
      <c r="B16" s="370"/>
      <c r="C16" s="31"/>
      <c r="D16" s="65" t="s">
        <v>247</v>
      </c>
      <c r="E16" s="70" t="s">
        <v>247</v>
      </c>
      <c r="F16" s="64">
        <v>10000</v>
      </c>
      <c r="G16" s="65" t="s">
        <v>7</v>
      </c>
      <c r="H16" s="65" t="s">
        <v>4</v>
      </c>
      <c r="I16" s="68">
        <v>1</v>
      </c>
      <c r="J16" s="65" t="s">
        <v>12</v>
      </c>
      <c r="K16" s="65" t="s">
        <v>6</v>
      </c>
      <c r="L16" s="68">
        <v>28</v>
      </c>
      <c r="M16" s="65" t="s">
        <v>9</v>
      </c>
      <c r="N16" s="66">
        <f t="shared" si="0"/>
        <v>280000</v>
      </c>
      <c r="O16" s="66"/>
    </row>
    <row r="17" spans="1:21" ht="31.5" customHeight="1">
      <c r="A17" s="369"/>
      <c r="B17" s="370"/>
      <c r="C17" s="54" t="s">
        <v>182</v>
      </c>
      <c r="D17" s="60" t="s">
        <v>183</v>
      </c>
      <c r="E17" s="61" t="s">
        <v>239</v>
      </c>
      <c r="F17" s="64">
        <v>20000</v>
      </c>
      <c r="G17" s="65" t="s">
        <v>7</v>
      </c>
      <c r="H17" s="69" t="s">
        <v>6</v>
      </c>
      <c r="I17" s="68">
        <v>8</v>
      </c>
      <c r="J17" s="65" t="s">
        <v>12</v>
      </c>
      <c r="K17" s="65" t="s">
        <v>6</v>
      </c>
      <c r="L17" s="68">
        <v>22</v>
      </c>
      <c r="M17" s="65" t="s">
        <v>9</v>
      </c>
      <c r="N17" s="66">
        <f t="shared" si="0"/>
        <v>3520000</v>
      </c>
      <c r="O17" s="66"/>
      <c r="T17" s="79"/>
    </row>
    <row r="18" spans="1:21" ht="31.5" customHeight="1">
      <c r="A18" s="369"/>
      <c r="B18" s="370"/>
      <c r="C18" s="31"/>
      <c r="D18" s="60"/>
      <c r="E18" s="61" t="s">
        <v>240</v>
      </c>
      <c r="F18" s="64">
        <v>20000</v>
      </c>
      <c r="G18" s="65" t="s">
        <v>7</v>
      </c>
      <c r="H18" s="69" t="s">
        <v>6</v>
      </c>
      <c r="I18" s="68">
        <v>8</v>
      </c>
      <c r="J18" s="65" t="s">
        <v>12</v>
      </c>
      <c r="K18" s="65" t="s">
        <v>6</v>
      </c>
      <c r="L18" s="68">
        <v>22</v>
      </c>
      <c r="M18" s="65" t="s">
        <v>9</v>
      </c>
      <c r="N18" s="66">
        <f t="shared" ref="N18:N19" si="1">F18*I18*L18</f>
        <v>3520000</v>
      </c>
      <c r="O18" s="66"/>
      <c r="T18" s="80"/>
    </row>
    <row r="19" spans="1:21" ht="31.5" customHeight="1">
      <c r="A19" s="369"/>
      <c r="B19" s="370"/>
      <c r="C19" s="33" t="s">
        <v>173</v>
      </c>
      <c r="D19" s="60" t="s">
        <v>242</v>
      </c>
      <c r="E19" s="62" t="s">
        <v>249</v>
      </c>
      <c r="F19" s="64">
        <v>25000</v>
      </c>
      <c r="G19" s="65" t="s">
        <v>7</v>
      </c>
      <c r="H19" s="69" t="s">
        <v>6</v>
      </c>
      <c r="I19" s="68">
        <v>40</v>
      </c>
      <c r="J19" s="65" t="s">
        <v>241</v>
      </c>
      <c r="K19" s="65" t="s">
        <v>6</v>
      </c>
      <c r="L19" s="68">
        <v>1</v>
      </c>
      <c r="M19" s="254" t="s">
        <v>9</v>
      </c>
      <c r="N19" s="66">
        <f t="shared" si="1"/>
        <v>1000000</v>
      </c>
      <c r="O19" s="66"/>
      <c r="T19" s="79"/>
    </row>
    <row r="20" spans="1:21" ht="31.5" customHeight="1">
      <c r="A20" s="369"/>
      <c r="B20" s="370"/>
      <c r="C20" s="33"/>
      <c r="D20" s="60" t="s">
        <v>243</v>
      </c>
      <c r="E20" s="61" t="s">
        <v>244</v>
      </c>
      <c r="F20" s="64">
        <v>10000</v>
      </c>
      <c r="G20" s="65" t="s">
        <v>7</v>
      </c>
      <c r="H20" s="69" t="s">
        <v>6</v>
      </c>
      <c r="I20" s="68">
        <v>22</v>
      </c>
      <c r="J20" s="65" t="s">
        <v>12</v>
      </c>
      <c r="K20" s="65" t="s">
        <v>6</v>
      </c>
      <c r="L20" s="68">
        <v>58</v>
      </c>
      <c r="M20" s="65" t="s">
        <v>9</v>
      </c>
      <c r="N20" s="66">
        <f t="shared" si="0"/>
        <v>12760000</v>
      </c>
      <c r="O20" s="66"/>
      <c r="S20" s="80"/>
    </row>
    <row r="21" spans="1:21" ht="31.5" customHeight="1">
      <c r="A21" s="369"/>
      <c r="B21" s="370"/>
      <c r="C21" s="54" t="s">
        <v>174</v>
      </c>
      <c r="D21" s="60" t="s">
        <v>245</v>
      </c>
      <c r="E21" s="61" t="s">
        <v>245</v>
      </c>
      <c r="F21" s="64">
        <v>500</v>
      </c>
      <c r="G21" s="68" t="s">
        <v>7</v>
      </c>
      <c r="H21" s="68" t="s">
        <v>6</v>
      </c>
      <c r="I21" s="265">
        <v>20</v>
      </c>
      <c r="J21" s="265" t="s">
        <v>12</v>
      </c>
      <c r="K21" s="265" t="s">
        <v>6</v>
      </c>
      <c r="L21" s="274">
        <v>27</v>
      </c>
      <c r="M21" s="68" t="s">
        <v>9</v>
      </c>
      <c r="N21" s="66">
        <f t="shared" si="0"/>
        <v>270000</v>
      </c>
      <c r="O21" s="66"/>
      <c r="S21" s="80"/>
    </row>
    <row r="22" spans="1:21" ht="31.5" customHeight="1">
      <c r="A22" s="369"/>
      <c r="B22" s="370"/>
      <c r="C22" s="33"/>
      <c r="D22" s="65"/>
      <c r="E22" s="71"/>
      <c r="F22" s="64"/>
      <c r="G22" s="68"/>
      <c r="H22" s="65"/>
      <c r="I22" s="260"/>
      <c r="J22" s="255"/>
      <c r="K22" s="255"/>
      <c r="L22" s="260"/>
      <c r="M22" s="68"/>
      <c r="N22" s="66">
        <f t="shared" si="0"/>
        <v>0</v>
      </c>
      <c r="O22" s="66"/>
      <c r="S22" s="80"/>
    </row>
    <row r="23" spans="1:21" ht="31.5" customHeight="1">
      <c r="A23" s="369"/>
      <c r="B23" s="370"/>
      <c r="C23" s="33" t="s">
        <v>187</v>
      </c>
      <c r="D23" s="60" t="s">
        <v>246</v>
      </c>
      <c r="E23" s="61" t="s">
        <v>254</v>
      </c>
      <c r="F23" s="64">
        <v>10000</v>
      </c>
      <c r="G23" s="65" t="s">
        <v>7</v>
      </c>
      <c r="H23" s="69" t="s">
        <v>6</v>
      </c>
      <c r="I23" s="68">
        <v>32</v>
      </c>
      <c r="J23" s="65" t="s">
        <v>248</v>
      </c>
      <c r="K23" s="65" t="s">
        <v>6</v>
      </c>
      <c r="L23" s="68">
        <v>3</v>
      </c>
      <c r="M23" s="65" t="s">
        <v>9</v>
      </c>
      <c r="N23" s="66">
        <f t="shared" si="0"/>
        <v>960000</v>
      </c>
      <c r="O23" s="66"/>
    </row>
    <row r="24" spans="1:21" ht="31.5" customHeight="1">
      <c r="A24" s="369"/>
      <c r="B24" s="370"/>
      <c r="C24" s="31"/>
      <c r="D24" s="65"/>
      <c r="E24" s="67"/>
      <c r="F24" s="64"/>
      <c r="G24" s="65"/>
      <c r="H24" s="69"/>
      <c r="I24" s="260"/>
      <c r="J24" s="254"/>
      <c r="K24" s="254"/>
      <c r="L24" s="260"/>
      <c r="M24" s="65"/>
      <c r="N24" s="66">
        <f t="shared" si="0"/>
        <v>0</v>
      </c>
      <c r="O24" s="66"/>
    </row>
    <row r="25" spans="1:21" ht="31.5" customHeight="1">
      <c r="A25" s="369"/>
      <c r="B25" s="370"/>
      <c r="C25" s="33" t="s">
        <v>175</v>
      </c>
      <c r="D25" s="65"/>
      <c r="E25" s="67"/>
      <c r="F25" s="64"/>
      <c r="G25" s="65"/>
      <c r="H25" s="69"/>
      <c r="I25" s="182"/>
      <c r="J25" s="65"/>
      <c r="K25" s="65"/>
      <c r="L25" s="182"/>
      <c r="M25" s="65"/>
      <c r="N25" s="66">
        <f t="shared" si="0"/>
        <v>0</v>
      </c>
      <c r="O25" s="66"/>
    </row>
    <row r="26" spans="1:21" ht="27" customHeight="1">
      <c r="A26" s="371" t="s">
        <v>210</v>
      </c>
      <c r="B26" s="372"/>
      <c r="C26" s="372"/>
      <c r="D26" s="372"/>
      <c r="E26" s="372"/>
      <c r="F26" s="372"/>
      <c r="G26" s="372"/>
      <c r="H26" s="372"/>
      <c r="I26" s="372"/>
      <c r="J26" s="372"/>
      <c r="K26" s="372"/>
      <c r="L26" s="372"/>
      <c r="M26" s="372"/>
      <c r="N26" s="46">
        <f>SUM(N5:N25)</f>
        <v>94195560</v>
      </c>
      <c r="O26" s="52"/>
    </row>
    <row r="27" spans="1:21" ht="18" thickBot="1">
      <c r="A27" s="6"/>
      <c r="B27" s="6"/>
      <c r="C27" s="6"/>
      <c r="D27" s="6"/>
      <c r="E27" s="6"/>
      <c r="F27" s="6"/>
      <c r="G27" s="6"/>
      <c r="H27" s="6"/>
      <c r="I27" s="184"/>
      <c r="J27" s="6"/>
      <c r="K27" s="6"/>
      <c r="L27" s="184"/>
      <c r="M27" s="6"/>
      <c r="N27" s="6"/>
      <c r="O27" s="6"/>
    </row>
    <row r="28" spans="1:21" ht="18.600000000000001" thickTop="1" thickBot="1">
      <c r="A28" s="357" t="s">
        <v>45</v>
      </c>
      <c r="B28" s="358"/>
      <c r="C28" s="358"/>
      <c r="D28" s="358"/>
      <c r="E28" s="359"/>
      <c r="U28" t="s">
        <v>46</v>
      </c>
    </row>
    <row r="29" spans="1:21" ht="30" customHeight="1">
      <c r="A29" s="360" t="s">
        <v>192</v>
      </c>
      <c r="B29" s="361"/>
      <c r="C29" s="361"/>
      <c r="D29" s="361"/>
      <c r="E29" s="361"/>
      <c r="F29" s="361"/>
      <c r="G29" s="361"/>
      <c r="H29" s="361"/>
      <c r="I29" s="361"/>
      <c r="J29" s="361"/>
      <c r="K29" s="361"/>
      <c r="L29" s="361"/>
      <c r="M29" s="361"/>
      <c r="N29" s="361"/>
      <c r="O29" s="362"/>
    </row>
    <row r="30" spans="1:21" ht="30" customHeight="1">
      <c r="A30" s="363"/>
      <c r="B30" s="364"/>
      <c r="C30" s="364"/>
      <c r="D30" s="364"/>
      <c r="E30" s="364"/>
      <c r="F30" s="364"/>
      <c r="G30" s="364"/>
      <c r="H30" s="364"/>
      <c r="I30" s="364"/>
      <c r="J30" s="364"/>
      <c r="K30" s="364"/>
      <c r="L30" s="364"/>
      <c r="M30" s="364"/>
      <c r="N30" s="364"/>
      <c r="O30" s="365"/>
    </row>
    <row r="31" spans="1:21" ht="30" customHeight="1">
      <c r="A31" s="363"/>
      <c r="B31" s="364"/>
      <c r="C31" s="364"/>
      <c r="D31" s="364"/>
      <c r="E31" s="364"/>
      <c r="F31" s="364"/>
      <c r="G31" s="364"/>
      <c r="H31" s="364"/>
      <c r="I31" s="364"/>
      <c r="J31" s="364"/>
      <c r="K31" s="364"/>
      <c r="L31" s="364"/>
      <c r="M31" s="364"/>
      <c r="N31" s="364"/>
      <c r="O31" s="365"/>
    </row>
    <row r="32" spans="1:21" ht="30" customHeight="1">
      <c r="A32" s="363"/>
      <c r="B32" s="364"/>
      <c r="C32" s="364"/>
      <c r="D32" s="364"/>
      <c r="E32" s="364"/>
      <c r="F32" s="364"/>
      <c r="G32" s="364"/>
      <c r="H32" s="364"/>
      <c r="I32" s="364"/>
      <c r="J32" s="364"/>
      <c r="K32" s="364"/>
      <c r="L32" s="364"/>
      <c r="M32" s="364"/>
      <c r="N32" s="364"/>
      <c r="O32" s="365"/>
      <c r="T32" t="s">
        <v>190</v>
      </c>
    </row>
    <row r="33" spans="1:15" ht="30" customHeight="1">
      <c r="A33" s="363"/>
      <c r="B33" s="364"/>
      <c r="C33" s="364"/>
      <c r="D33" s="364"/>
      <c r="E33" s="364"/>
      <c r="F33" s="364"/>
      <c r="G33" s="364"/>
      <c r="H33" s="364"/>
      <c r="I33" s="364"/>
      <c r="J33" s="364"/>
      <c r="K33" s="364"/>
      <c r="L33" s="364"/>
      <c r="M33" s="364"/>
      <c r="N33" s="364"/>
      <c r="O33" s="365"/>
    </row>
    <row r="34" spans="1:15" ht="30" customHeight="1">
      <c r="A34" s="363"/>
      <c r="B34" s="364"/>
      <c r="C34" s="364"/>
      <c r="D34" s="364"/>
      <c r="E34" s="364"/>
      <c r="F34" s="364"/>
      <c r="G34" s="364"/>
      <c r="H34" s="364"/>
      <c r="I34" s="364"/>
      <c r="J34" s="364"/>
      <c r="K34" s="364"/>
      <c r="L34" s="364"/>
      <c r="M34" s="364"/>
      <c r="N34" s="364"/>
      <c r="O34" s="365"/>
    </row>
    <row r="35" spans="1:15" ht="30" customHeight="1">
      <c r="A35" s="363"/>
      <c r="B35" s="364"/>
      <c r="C35" s="364"/>
      <c r="D35" s="364"/>
      <c r="E35" s="364"/>
      <c r="F35" s="364"/>
      <c r="G35" s="364"/>
      <c r="H35" s="364"/>
      <c r="I35" s="364"/>
      <c r="J35" s="364"/>
      <c r="K35" s="364"/>
      <c r="L35" s="364"/>
      <c r="M35" s="364"/>
      <c r="N35" s="364"/>
      <c r="O35" s="365"/>
    </row>
    <row r="36" spans="1:15" ht="30" customHeight="1" thickBot="1">
      <c r="A36" s="366"/>
      <c r="B36" s="367"/>
      <c r="C36" s="367"/>
      <c r="D36" s="367"/>
      <c r="E36" s="367"/>
      <c r="F36" s="367"/>
      <c r="G36" s="367"/>
      <c r="H36" s="367"/>
      <c r="I36" s="367"/>
      <c r="J36" s="367"/>
      <c r="K36" s="367"/>
      <c r="L36" s="367"/>
      <c r="M36" s="367"/>
      <c r="N36" s="367"/>
      <c r="O36" s="368"/>
    </row>
  </sheetData>
  <mergeCells count="14">
    <mergeCell ref="A5:A25"/>
    <mergeCell ref="B5:B25"/>
    <mergeCell ref="A26:M26"/>
    <mergeCell ref="A28:E28"/>
    <mergeCell ref="A29:O36"/>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6"/>
  <sheetViews>
    <sheetView view="pageBreakPreview" zoomScale="85" zoomScaleNormal="70" zoomScaleSheetLayoutView="85" workbookViewId="0">
      <selection activeCell="L7" sqref="L7"/>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7.09765625" bestFit="1" customWidth="1"/>
    <col min="10" max="10" width="8.69921875" bestFit="1" customWidth="1"/>
    <col min="11" max="11" width="4.69921875" bestFit="1" customWidth="1"/>
    <col min="12" max="12" width="9.09765625" bestFit="1" customWidth="1"/>
    <col min="13" max="13" width="5.3984375" bestFit="1" customWidth="1"/>
    <col min="14" max="14" width="18.09765625" bestFit="1" customWidth="1"/>
    <col min="15" max="15" width="10" customWidth="1"/>
    <col min="19" max="19" width="11.3984375" customWidth="1"/>
    <col min="21" max="21" width="12.59765625" bestFit="1" customWidth="1"/>
    <col min="23" max="23" width="11.3984375" bestFit="1" customWidth="1"/>
  </cols>
  <sheetData>
    <row r="1" spans="1:21" ht="25.8">
      <c r="A1" s="400" t="s">
        <v>1351</v>
      </c>
      <c r="B1" s="346"/>
      <c r="C1" s="346"/>
      <c r="D1" s="346"/>
      <c r="E1" s="346"/>
      <c r="F1" s="346"/>
      <c r="G1" s="346"/>
      <c r="H1" s="346"/>
      <c r="I1" s="346"/>
      <c r="J1" s="346"/>
      <c r="K1" s="346"/>
      <c r="L1" s="346"/>
      <c r="M1" s="346"/>
      <c r="N1" s="346"/>
      <c r="O1" s="346"/>
    </row>
    <row r="2" spans="1:21" ht="18" thickBot="1">
      <c r="A2" s="4"/>
      <c r="B2" s="4"/>
      <c r="C2" s="347"/>
      <c r="D2" s="347"/>
      <c r="E2" s="347"/>
      <c r="F2" s="347"/>
      <c r="G2" s="347"/>
      <c r="H2" s="347"/>
      <c r="I2" s="347"/>
      <c r="J2" s="347"/>
      <c r="K2" s="347"/>
      <c r="L2" s="347"/>
      <c r="M2" s="347"/>
      <c r="N2" s="347"/>
      <c r="O2" s="347"/>
    </row>
    <row r="3" spans="1:21">
      <c r="A3" s="348" t="s">
        <v>26</v>
      </c>
      <c r="B3" s="350" t="s">
        <v>27</v>
      </c>
      <c r="C3" s="350" t="s">
        <v>28</v>
      </c>
      <c r="D3" s="350" t="s">
        <v>176</v>
      </c>
      <c r="E3" s="352" t="s">
        <v>1</v>
      </c>
      <c r="F3" s="352"/>
      <c r="G3" s="352"/>
      <c r="H3" s="352"/>
      <c r="I3" s="352"/>
      <c r="J3" s="352"/>
      <c r="K3" s="352"/>
      <c r="L3" s="352"/>
      <c r="M3" s="352"/>
      <c r="N3" s="353" t="s">
        <v>2</v>
      </c>
      <c r="O3" s="355" t="s">
        <v>144</v>
      </c>
    </row>
    <row r="4" spans="1:21">
      <c r="A4" s="349"/>
      <c r="B4" s="351"/>
      <c r="C4" s="351"/>
      <c r="D4" s="351"/>
      <c r="E4" s="16" t="s">
        <v>41</v>
      </c>
      <c r="F4" s="16" t="s">
        <v>47</v>
      </c>
      <c r="G4" s="16" t="s">
        <v>42</v>
      </c>
      <c r="H4" s="16" t="s">
        <v>6</v>
      </c>
      <c r="I4" s="16" t="s">
        <v>48</v>
      </c>
      <c r="J4" s="16" t="s">
        <v>42</v>
      </c>
      <c r="K4" s="16" t="s">
        <v>6</v>
      </c>
      <c r="L4" s="186" t="s">
        <v>49</v>
      </c>
      <c r="M4" s="16" t="s">
        <v>42</v>
      </c>
      <c r="N4" s="354"/>
      <c r="O4" s="356"/>
    </row>
    <row r="5" spans="1:21" ht="31.5" customHeight="1">
      <c r="A5" s="369"/>
      <c r="B5" s="370" t="s">
        <v>52</v>
      </c>
      <c r="C5" s="29" t="s">
        <v>169</v>
      </c>
      <c r="D5" s="63" t="s">
        <v>227</v>
      </c>
      <c r="E5" s="63" t="s">
        <v>228</v>
      </c>
      <c r="F5" s="190">
        <v>40000</v>
      </c>
      <c r="G5" s="191" t="s">
        <v>7</v>
      </c>
      <c r="H5" s="191" t="s">
        <v>4</v>
      </c>
      <c r="I5" s="190">
        <v>9</v>
      </c>
      <c r="J5" s="189" t="s">
        <v>8</v>
      </c>
      <c r="K5" s="191" t="s">
        <v>4</v>
      </c>
      <c r="L5" s="190">
        <v>8</v>
      </c>
      <c r="M5" s="259" t="s">
        <v>18</v>
      </c>
      <c r="N5" s="66">
        <f t="shared" ref="N5:N25" si="0">F5*I5*L5</f>
        <v>2880000</v>
      </c>
      <c r="O5" s="11"/>
    </row>
    <row r="6" spans="1:21" ht="31.5" customHeight="1">
      <c r="A6" s="369"/>
      <c r="B6" s="370"/>
      <c r="C6" s="31"/>
      <c r="D6" s="65" t="s">
        <v>227</v>
      </c>
      <c r="E6" s="271" t="s">
        <v>1363</v>
      </c>
      <c r="F6" s="272">
        <v>210000</v>
      </c>
      <c r="G6" s="65" t="s">
        <v>1369</v>
      </c>
      <c r="H6" s="65" t="s">
        <v>4</v>
      </c>
      <c r="I6" s="273">
        <v>1</v>
      </c>
      <c r="J6" s="65" t="s">
        <v>1358</v>
      </c>
      <c r="K6" s="65" t="s">
        <v>1370</v>
      </c>
      <c r="L6" s="262">
        <v>2</v>
      </c>
      <c r="M6" s="65" t="s">
        <v>1372</v>
      </c>
      <c r="N6" s="66">
        <f t="shared" si="0"/>
        <v>420000</v>
      </c>
      <c r="O6" s="11"/>
      <c r="S6" s="79"/>
    </row>
    <row r="7" spans="1:21" ht="31.5" customHeight="1">
      <c r="A7" s="369"/>
      <c r="B7" s="370"/>
      <c r="C7" s="31"/>
      <c r="D7" s="65" t="s">
        <v>227</v>
      </c>
      <c r="E7" s="271" t="s">
        <v>1365</v>
      </c>
      <c r="F7" s="272">
        <v>1155000</v>
      </c>
      <c r="G7" s="65" t="s">
        <v>1369</v>
      </c>
      <c r="H7" s="65" t="s">
        <v>4</v>
      </c>
      <c r="I7" s="273">
        <v>1</v>
      </c>
      <c r="J7" s="65" t="s">
        <v>1358</v>
      </c>
      <c r="K7" s="65" t="s">
        <v>1370</v>
      </c>
      <c r="L7" s="273">
        <v>2</v>
      </c>
      <c r="M7" s="65" t="s">
        <v>1372</v>
      </c>
      <c r="N7" s="66">
        <f>F7*I7*L7</f>
        <v>2310000</v>
      </c>
      <c r="O7" s="11"/>
    </row>
    <row r="8" spans="1:21" ht="31.5" customHeight="1">
      <c r="A8" s="369"/>
      <c r="B8" s="370"/>
      <c r="C8" s="29" t="s">
        <v>170</v>
      </c>
      <c r="D8" s="65" t="s">
        <v>229</v>
      </c>
      <c r="E8" s="70" t="s">
        <v>255</v>
      </c>
      <c r="F8" s="64">
        <v>298000</v>
      </c>
      <c r="G8" s="65" t="s">
        <v>7</v>
      </c>
      <c r="H8" s="65" t="s">
        <v>4</v>
      </c>
      <c r="I8" s="260">
        <v>134</v>
      </c>
      <c r="J8" s="254" t="s">
        <v>24</v>
      </c>
      <c r="K8" s="254" t="s">
        <v>6</v>
      </c>
      <c r="L8" s="256">
        <v>1</v>
      </c>
      <c r="M8" s="254" t="s">
        <v>9</v>
      </c>
      <c r="N8" s="180">
        <f t="shared" si="0"/>
        <v>39932000</v>
      </c>
      <c r="O8" s="11"/>
      <c r="S8" s="80"/>
    </row>
    <row r="9" spans="1:21" ht="31.5" customHeight="1">
      <c r="A9" s="369"/>
      <c r="B9" s="370"/>
      <c r="C9" s="33"/>
      <c r="D9" s="65" t="s">
        <v>232</v>
      </c>
      <c r="E9" s="67" t="s">
        <v>231</v>
      </c>
      <c r="F9" s="190">
        <v>5751</v>
      </c>
      <c r="G9" s="65" t="s">
        <v>7</v>
      </c>
      <c r="H9" s="65" t="s">
        <v>4</v>
      </c>
      <c r="I9" s="260">
        <v>20</v>
      </c>
      <c r="J9" s="254" t="s">
        <v>24</v>
      </c>
      <c r="K9" s="254" t="s">
        <v>6</v>
      </c>
      <c r="L9" s="256">
        <v>30</v>
      </c>
      <c r="M9" s="254" t="s">
        <v>9</v>
      </c>
      <c r="N9" s="66">
        <f t="shared" si="0"/>
        <v>3450600</v>
      </c>
      <c r="O9" s="11"/>
      <c r="S9" s="257"/>
    </row>
    <row r="10" spans="1:21" ht="31.5" customHeight="1">
      <c r="A10" s="369"/>
      <c r="B10" s="370"/>
      <c r="C10" s="53" t="s">
        <v>171</v>
      </c>
      <c r="D10" s="65"/>
      <c r="E10" s="67"/>
      <c r="F10" s="64"/>
      <c r="G10" s="65" t="s">
        <v>7</v>
      </c>
      <c r="H10" s="65" t="s">
        <v>4</v>
      </c>
      <c r="I10" s="260"/>
      <c r="J10" s="254" t="s">
        <v>150</v>
      </c>
      <c r="K10" s="254" t="s">
        <v>6</v>
      </c>
      <c r="L10" s="256"/>
      <c r="M10" s="254" t="s">
        <v>9</v>
      </c>
      <c r="N10" s="66">
        <f t="shared" si="0"/>
        <v>0</v>
      </c>
      <c r="O10" s="11"/>
    </row>
    <row r="11" spans="1:21" ht="31.5" customHeight="1">
      <c r="A11" s="369"/>
      <c r="B11" s="370"/>
      <c r="C11" s="31"/>
      <c r="D11" s="65"/>
      <c r="E11" s="67"/>
      <c r="F11" s="64"/>
      <c r="G11" s="65"/>
      <c r="H11" s="65"/>
      <c r="I11" s="260"/>
      <c r="J11" s="254"/>
      <c r="K11" s="254"/>
      <c r="L11" s="256"/>
      <c r="M11" s="254"/>
      <c r="N11" s="66">
        <f t="shared" si="0"/>
        <v>0</v>
      </c>
      <c r="O11" s="11"/>
    </row>
    <row r="12" spans="1:21" ht="31.5" customHeight="1">
      <c r="A12" s="369"/>
      <c r="B12" s="370"/>
      <c r="C12" s="54" t="s">
        <v>172</v>
      </c>
      <c r="D12" s="65" t="s">
        <v>14</v>
      </c>
      <c r="E12" s="67" t="s">
        <v>233</v>
      </c>
      <c r="F12" s="64">
        <v>100000</v>
      </c>
      <c r="G12" s="65" t="s">
        <v>7</v>
      </c>
      <c r="H12" s="65" t="s">
        <v>4</v>
      </c>
      <c r="I12" s="260">
        <v>8</v>
      </c>
      <c r="J12" s="254" t="s">
        <v>241</v>
      </c>
      <c r="K12" s="254" t="s">
        <v>6</v>
      </c>
      <c r="L12" s="256">
        <v>37</v>
      </c>
      <c r="M12" s="254" t="s">
        <v>9</v>
      </c>
      <c r="N12" s="66">
        <f t="shared" si="0"/>
        <v>29600000</v>
      </c>
      <c r="O12" s="11"/>
    </row>
    <row r="13" spans="1:21" ht="31.5" customHeight="1">
      <c r="A13" s="369"/>
      <c r="B13" s="370"/>
      <c r="C13" s="31"/>
      <c r="D13" s="65" t="s">
        <v>14</v>
      </c>
      <c r="E13" s="67" t="s">
        <v>234</v>
      </c>
      <c r="F13" s="64">
        <v>60000</v>
      </c>
      <c r="G13" s="65" t="s">
        <v>7</v>
      </c>
      <c r="H13" s="69" t="s">
        <v>6</v>
      </c>
      <c r="I13" s="260">
        <v>8</v>
      </c>
      <c r="J13" s="254" t="s">
        <v>12</v>
      </c>
      <c r="K13" s="254" t="s">
        <v>6</v>
      </c>
      <c r="L13" s="256">
        <v>37</v>
      </c>
      <c r="M13" s="254" t="s">
        <v>9</v>
      </c>
      <c r="N13" s="66">
        <f t="shared" si="0"/>
        <v>17760000</v>
      </c>
      <c r="O13" s="11"/>
    </row>
    <row r="14" spans="1:21" ht="31.5" customHeight="1">
      <c r="A14" s="369"/>
      <c r="B14" s="370"/>
      <c r="C14" s="31"/>
      <c r="D14" s="65" t="s">
        <v>235</v>
      </c>
      <c r="E14" s="67" t="s">
        <v>236</v>
      </c>
      <c r="F14" s="64">
        <v>100000</v>
      </c>
      <c r="G14" s="68" t="s">
        <v>7</v>
      </c>
      <c r="H14" s="68" t="s">
        <v>6</v>
      </c>
      <c r="I14" s="265">
        <v>1</v>
      </c>
      <c r="J14" s="265" t="s">
        <v>12</v>
      </c>
      <c r="K14" s="265" t="s">
        <v>6</v>
      </c>
      <c r="L14" s="274">
        <v>45</v>
      </c>
      <c r="M14" s="68" t="s">
        <v>9</v>
      </c>
      <c r="N14" s="66">
        <f>F14*I14*L14</f>
        <v>4500000</v>
      </c>
      <c r="O14" s="11"/>
    </row>
    <row r="15" spans="1:21" ht="31.5" customHeight="1">
      <c r="A15" s="369"/>
      <c r="B15" s="370"/>
      <c r="C15" s="31"/>
      <c r="D15" s="65" t="s">
        <v>237</v>
      </c>
      <c r="E15" s="70" t="s">
        <v>238</v>
      </c>
      <c r="F15" s="64">
        <v>250000</v>
      </c>
      <c r="G15" s="65" t="s">
        <v>7</v>
      </c>
      <c r="H15" s="65" t="s">
        <v>4</v>
      </c>
      <c r="I15" s="260">
        <v>1</v>
      </c>
      <c r="J15" s="254" t="s">
        <v>12</v>
      </c>
      <c r="K15" s="254" t="s">
        <v>6</v>
      </c>
      <c r="L15" s="256">
        <v>12</v>
      </c>
      <c r="M15" s="254" t="s">
        <v>9</v>
      </c>
      <c r="N15" s="66">
        <f t="shared" si="0"/>
        <v>3000000</v>
      </c>
      <c r="O15" s="11"/>
    </row>
    <row r="16" spans="1:21" ht="31.5" customHeight="1">
      <c r="A16" s="369"/>
      <c r="B16" s="370"/>
      <c r="C16" s="31"/>
      <c r="D16" s="65" t="s">
        <v>247</v>
      </c>
      <c r="E16" s="70" t="s">
        <v>247</v>
      </c>
      <c r="F16" s="64">
        <v>10000</v>
      </c>
      <c r="G16" s="65" t="s">
        <v>7</v>
      </c>
      <c r="H16" s="65" t="s">
        <v>4</v>
      </c>
      <c r="I16" s="68">
        <v>1</v>
      </c>
      <c r="J16" s="65" t="s">
        <v>12</v>
      </c>
      <c r="K16" s="65" t="s">
        <v>6</v>
      </c>
      <c r="L16" s="68">
        <v>30</v>
      </c>
      <c r="M16" s="254" t="s">
        <v>9</v>
      </c>
      <c r="N16" s="66">
        <f t="shared" si="0"/>
        <v>300000</v>
      </c>
      <c r="O16" s="11"/>
      <c r="U16" s="79"/>
    </row>
    <row r="17" spans="1:23" ht="31.5" customHeight="1">
      <c r="A17" s="369"/>
      <c r="B17" s="370"/>
      <c r="C17" s="54" t="s">
        <v>182</v>
      </c>
      <c r="D17" s="60" t="s">
        <v>183</v>
      </c>
      <c r="E17" s="61" t="s">
        <v>239</v>
      </c>
      <c r="F17" s="64">
        <v>20000</v>
      </c>
      <c r="G17" s="65" t="s">
        <v>7</v>
      </c>
      <c r="H17" s="69" t="s">
        <v>6</v>
      </c>
      <c r="I17" s="68">
        <v>8</v>
      </c>
      <c r="J17" s="65" t="s">
        <v>12</v>
      </c>
      <c r="K17" s="65" t="s">
        <v>6</v>
      </c>
      <c r="L17" s="68">
        <v>25</v>
      </c>
      <c r="M17" s="254" t="s">
        <v>9</v>
      </c>
      <c r="N17" s="66">
        <f t="shared" si="0"/>
        <v>4000000</v>
      </c>
      <c r="O17" s="11"/>
      <c r="U17" s="80"/>
    </row>
    <row r="18" spans="1:23" ht="31.5" customHeight="1">
      <c r="A18" s="369"/>
      <c r="B18" s="370"/>
      <c r="C18" s="31"/>
      <c r="D18" s="60"/>
      <c r="E18" s="61" t="s">
        <v>240</v>
      </c>
      <c r="F18" s="64">
        <v>20000</v>
      </c>
      <c r="G18" s="65" t="s">
        <v>7</v>
      </c>
      <c r="H18" s="69" t="s">
        <v>6</v>
      </c>
      <c r="I18" s="68">
        <v>8</v>
      </c>
      <c r="J18" s="65" t="s">
        <v>12</v>
      </c>
      <c r="K18" s="65" t="s">
        <v>6</v>
      </c>
      <c r="L18" s="68">
        <v>25</v>
      </c>
      <c r="M18" s="254" t="s">
        <v>9</v>
      </c>
      <c r="N18" s="66">
        <f t="shared" ref="N18:N19" si="1">F18*I18*L18</f>
        <v>4000000</v>
      </c>
      <c r="O18" s="11"/>
      <c r="W18" s="79"/>
    </row>
    <row r="19" spans="1:23" ht="31.5" customHeight="1">
      <c r="A19" s="369"/>
      <c r="B19" s="370"/>
      <c r="C19" s="33" t="s">
        <v>173</v>
      </c>
      <c r="D19" s="60" t="s">
        <v>242</v>
      </c>
      <c r="E19" s="62" t="s">
        <v>249</v>
      </c>
      <c r="F19" s="64">
        <v>25000</v>
      </c>
      <c r="G19" s="65" t="s">
        <v>7</v>
      </c>
      <c r="H19" s="69" t="s">
        <v>6</v>
      </c>
      <c r="I19" s="68">
        <v>40</v>
      </c>
      <c r="J19" s="65" t="s">
        <v>241</v>
      </c>
      <c r="K19" s="65" t="s">
        <v>6</v>
      </c>
      <c r="L19" s="68">
        <v>1</v>
      </c>
      <c r="M19" s="254" t="s">
        <v>9</v>
      </c>
      <c r="N19" s="66">
        <f t="shared" si="1"/>
        <v>1000000</v>
      </c>
      <c r="O19" s="11"/>
      <c r="W19" s="80"/>
    </row>
    <row r="20" spans="1:23" ht="31.5" customHeight="1">
      <c r="A20" s="369"/>
      <c r="B20" s="370"/>
      <c r="C20" s="33"/>
      <c r="D20" s="60" t="s">
        <v>243</v>
      </c>
      <c r="E20" s="61" t="s">
        <v>244</v>
      </c>
      <c r="F20" s="64">
        <v>10000</v>
      </c>
      <c r="G20" s="65" t="s">
        <v>7</v>
      </c>
      <c r="H20" s="69" t="s">
        <v>6</v>
      </c>
      <c r="I20" s="68">
        <v>22</v>
      </c>
      <c r="J20" s="65" t="s">
        <v>12</v>
      </c>
      <c r="K20" s="65" t="s">
        <v>6</v>
      </c>
      <c r="L20" s="68">
        <v>60</v>
      </c>
      <c r="M20" s="254" t="s">
        <v>9</v>
      </c>
      <c r="N20" s="66">
        <f t="shared" si="0"/>
        <v>13200000</v>
      </c>
      <c r="O20" s="11"/>
      <c r="S20" s="80"/>
      <c r="U20" s="80"/>
    </row>
    <row r="21" spans="1:23" ht="31.5" customHeight="1">
      <c r="A21" s="369"/>
      <c r="B21" s="370"/>
      <c r="C21" s="54" t="s">
        <v>174</v>
      </c>
      <c r="D21" s="60" t="s">
        <v>245</v>
      </c>
      <c r="E21" s="61" t="s">
        <v>245</v>
      </c>
      <c r="F21" s="64">
        <v>500</v>
      </c>
      <c r="G21" s="68" t="s">
        <v>7</v>
      </c>
      <c r="H21" s="68" t="s">
        <v>6</v>
      </c>
      <c r="I21" s="265">
        <v>20</v>
      </c>
      <c r="J21" s="265" t="s">
        <v>12</v>
      </c>
      <c r="K21" s="265" t="s">
        <v>6</v>
      </c>
      <c r="L21" s="274">
        <v>29</v>
      </c>
      <c r="M21" s="68" t="s">
        <v>9</v>
      </c>
      <c r="N21" s="66">
        <f t="shared" si="0"/>
        <v>290000</v>
      </c>
      <c r="O21" s="11"/>
    </row>
    <row r="22" spans="1:23" ht="31.5" customHeight="1">
      <c r="A22" s="369"/>
      <c r="B22" s="370"/>
      <c r="C22" s="33"/>
      <c r="D22" s="65"/>
      <c r="E22" s="71"/>
      <c r="F22" s="64"/>
      <c r="G22" s="68"/>
      <c r="H22" s="65"/>
      <c r="I22" s="255"/>
      <c r="J22" s="255"/>
      <c r="K22" s="255"/>
      <c r="L22" s="256"/>
      <c r="M22" s="255"/>
      <c r="N22" s="66">
        <f t="shared" si="0"/>
        <v>0</v>
      </c>
      <c r="O22" s="11"/>
      <c r="S22" s="80"/>
    </row>
    <row r="23" spans="1:23" ht="31.5" customHeight="1">
      <c r="A23" s="369"/>
      <c r="B23" s="370"/>
      <c r="C23" s="33" t="s">
        <v>187</v>
      </c>
      <c r="D23" s="60" t="s">
        <v>246</v>
      </c>
      <c r="E23" s="61" t="s">
        <v>254</v>
      </c>
      <c r="F23" s="64">
        <v>10000</v>
      </c>
      <c r="G23" s="65" t="s">
        <v>7</v>
      </c>
      <c r="H23" s="69" t="s">
        <v>6</v>
      </c>
      <c r="I23" s="68">
        <v>32</v>
      </c>
      <c r="J23" s="65" t="s">
        <v>248</v>
      </c>
      <c r="K23" s="65" t="s">
        <v>6</v>
      </c>
      <c r="L23" s="68">
        <v>3</v>
      </c>
      <c r="M23" s="254" t="s">
        <v>9</v>
      </c>
      <c r="N23" s="66">
        <f t="shared" si="0"/>
        <v>960000</v>
      </c>
      <c r="O23" s="11"/>
      <c r="S23" s="257"/>
    </row>
    <row r="24" spans="1:23" ht="31.5" customHeight="1">
      <c r="A24" s="369"/>
      <c r="B24" s="370"/>
      <c r="C24" s="31"/>
      <c r="D24" s="65"/>
      <c r="E24" s="67"/>
      <c r="F24" s="64"/>
      <c r="G24" s="65"/>
      <c r="H24" s="69"/>
      <c r="I24" s="68"/>
      <c r="J24" s="65"/>
      <c r="K24" s="65"/>
      <c r="L24" s="187"/>
      <c r="M24" s="65"/>
      <c r="N24" s="66">
        <f t="shared" si="0"/>
        <v>0</v>
      </c>
      <c r="O24" s="11"/>
    </row>
    <row r="25" spans="1:23" ht="31.5" customHeight="1">
      <c r="A25" s="369"/>
      <c r="B25" s="370"/>
      <c r="C25" s="33" t="s">
        <v>175</v>
      </c>
      <c r="D25" s="65"/>
      <c r="E25" s="67"/>
      <c r="F25" s="64"/>
      <c r="G25" s="65"/>
      <c r="H25" s="69"/>
      <c r="I25" s="68"/>
      <c r="J25" s="65"/>
      <c r="K25" s="65"/>
      <c r="L25" s="187"/>
      <c r="M25" s="65"/>
      <c r="N25" s="66">
        <f t="shared" si="0"/>
        <v>0</v>
      </c>
      <c r="O25" s="11"/>
    </row>
    <row r="26" spans="1:23" ht="27" customHeight="1">
      <c r="A26" s="371" t="s">
        <v>210</v>
      </c>
      <c r="B26" s="372"/>
      <c r="C26" s="372"/>
      <c r="D26" s="372"/>
      <c r="E26" s="372"/>
      <c r="F26" s="372"/>
      <c r="G26" s="372"/>
      <c r="H26" s="372"/>
      <c r="I26" s="372"/>
      <c r="J26" s="372"/>
      <c r="K26" s="372"/>
      <c r="L26" s="372"/>
      <c r="M26" s="372"/>
      <c r="N26" s="46">
        <f>SUM(N5:N25)</f>
        <v>127602600</v>
      </c>
      <c r="O26" s="52"/>
    </row>
    <row r="27" spans="1:23" ht="18" thickBot="1">
      <c r="A27" s="6"/>
      <c r="B27" s="6"/>
      <c r="C27" s="6"/>
      <c r="D27" s="6"/>
      <c r="E27" s="6"/>
      <c r="F27" s="6"/>
      <c r="G27" s="6"/>
      <c r="H27" s="6"/>
      <c r="I27" s="6"/>
      <c r="J27" s="6"/>
      <c r="K27" s="6"/>
      <c r="L27" s="6"/>
      <c r="M27" s="6"/>
      <c r="N27" s="6"/>
      <c r="O27" s="6"/>
    </row>
    <row r="28" spans="1:23" ht="18.600000000000001" thickTop="1" thickBot="1">
      <c r="A28" s="357" t="s">
        <v>45</v>
      </c>
      <c r="B28" s="358"/>
      <c r="C28" s="358"/>
      <c r="D28" s="358"/>
      <c r="E28" s="359"/>
      <c r="U28" t="s">
        <v>46</v>
      </c>
    </row>
    <row r="29" spans="1:23" ht="30" customHeight="1">
      <c r="A29" s="360" t="s">
        <v>192</v>
      </c>
      <c r="B29" s="361"/>
      <c r="C29" s="361"/>
      <c r="D29" s="361"/>
      <c r="E29" s="361"/>
      <c r="F29" s="361"/>
      <c r="G29" s="361"/>
      <c r="H29" s="361"/>
      <c r="I29" s="361"/>
      <c r="J29" s="361"/>
      <c r="K29" s="361"/>
      <c r="L29" s="361"/>
      <c r="M29" s="361"/>
      <c r="N29" s="361"/>
      <c r="O29" s="362"/>
    </row>
    <row r="30" spans="1:23" ht="30" customHeight="1">
      <c r="A30" s="363"/>
      <c r="B30" s="364"/>
      <c r="C30" s="364"/>
      <c r="D30" s="364"/>
      <c r="E30" s="364"/>
      <c r="F30" s="364"/>
      <c r="G30" s="364"/>
      <c r="H30" s="364"/>
      <c r="I30" s="364"/>
      <c r="J30" s="364"/>
      <c r="K30" s="364"/>
      <c r="L30" s="364"/>
      <c r="M30" s="364"/>
      <c r="N30" s="364"/>
      <c r="O30" s="365"/>
    </row>
    <row r="31" spans="1:23" ht="30" customHeight="1">
      <c r="A31" s="363"/>
      <c r="B31" s="364"/>
      <c r="C31" s="364"/>
      <c r="D31" s="364"/>
      <c r="E31" s="364"/>
      <c r="F31" s="364"/>
      <c r="G31" s="364"/>
      <c r="H31" s="364"/>
      <c r="I31" s="364"/>
      <c r="J31" s="364"/>
      <c r="K31" s="364"/>
      <c r="L31" s="364"/>
      <c r="M31" s="364"/>
      <c r="N31" s="364"/>
      <c r="O31" s="365"/>
    </row>
    <row r="32" spans="1:23" ht="30" customHeight="1">
      <c r="A32" s="363"/>
      <c r="B32" s="364"/>
      <c r="C32" s="364"/>
      <c r="D32" s="364"/>
      <c r="E32" s="364"/>
      <c r="F32" s="364"/>
      <c r="G32" s="364"/>
      <c r="H32" s="364"/>
      <c r="I32" s="364"/>
      <c r="J32" s="364"/>
      <c r="K32" s="364"/>
      <c r="L32" s="364"/>
      <c r="M32" s="364"/>
      <c r="N32" s="364"/>
      <c r="O32" s="365"/>
      <c r="T32" t="s">
        <v>190</v>
      </c>
    </row>
    <row r="33" spans="1:15" ht="30" customHeight="1">
      <c r="A33" s="363"/>
      <c r="B33" s="364"/>
      <c r="C33" s="364"/>
      <c r="D33" s="364"/>
      <c r="E33" s="364"/>
      <c r="F33" s="364"/>
      <c r="G33" s="364"/>
      <c r="H33" s="364"/>
      <c r="I33" s="364"/>
      <c r="J33" s="364"/>
      <c r="K33" s="364"/>
      <c r="L33" s="364"/>
      <c r="M33" s="364"/>
      <c r="N33" s="364"/>
      <c r="O33" s="365"/>
    </row>
    <row r="34" spans="1:15" ht="30" customHeight="1">
      <c r="A34" s="363"/>
      <c r="B34" s="364"/>
      <c r="C34" s="364"/>
      <c r="D34" s="364"/>
      <c r="E34" s="364"/>
      <c r="F34" s="364"/>
      <c r="G34" s="364"/>
      <c r="H34" s="364"/>
      <c r="I34" s="364"/>
      <c r="J34" s="364"/>
      <c r="K34" s="364"/>
      <c r="L34" s="364"/>
      <c r="M34" s="364"/>
      <c r="N34" s="364"/>
      <c r="O34" s="365"/>
    </row>
    <row r="35" spans="1:15" ht="30" customHeight="1">
      <c r="A35" s="363"/>
      <c r="B35" s="364"/>
      <c r="C35" s="364"/>
      <c r="D35" s="364"/>
      <c r="E35" s="364"/>
      <c r="F35" s="364"/>
      <c r="G35" s="364"/>
      <c r="H35" s="364"/>
      <c r="I35" s="364"/>
      <c r="J35" s="364"/>
      <c r="K35" s="364"/>
      <c r="L35" s="364"/>
      <c r="M35" s="364"/>
      <c r="N35" s="364"/>
      <c r="O35" s="365"/>
    </row>
    <row r="36" spans="1:15" ht="30" customHeight="1" thickBot="1">
      <c r="A36" s="366"/>
      <c r="B36" s="367"/>
      <c r="C36" s="367"/>
      <c r="D36" s="367"/>
      <c r="E36" s="367"/>
      <c r="F36" s="367"/>
      <c r="G36" s="367"/>
      <c r="H36" s="367"/>
      <c r="I36" s="367"/>
      <c r="J36" s="367"/>
      <c r="K36" s="367"/>
      <c r="L36" s="367"/>
      <c r="M36" s="367"/>
      <c r="N36" s="367"/>
      <c r="O36" s="368"/>
    </row>
  </sheetData>
  <mergeCells count="14">
    <mergeCell ref="A5:A25"/>
    <mergeCell ref="B5:B25"/>
    <mergeCell ref="A26:M26"/>
    <mergeCell ref="A28:E28"/>
    <mergeCell ref="A29:O36"/>
    <mergeCell ref="A1:O1"/>
    <mergeCell ref="C2:O2"/>
    <mergeCell ref="A3:A4"/>
    <mergeCell ref="B3:B4"/>
    <mergeCell ref="C3:C4"/>
    <mergeCell ref="D3:D4"/>
    <mergeCell ref="E3:M3"/>
    <mergeCell ref="N3:N4"/>
    <mergeCell ref="O3:O4"/>
  </mergeCells>
  <phoneticPr fontId="2" type="noConversion"/>
  <pageMargins left="0.7" right="0.7" top="0.75" bottom="0.75" header="0.3" footer="0.3"/>
  <pageSetup paperSize="9" scale="4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7"/>
  <sheetViews>
    <sheetView view="pageBreakPreview" zoomScale="85" zoomScaleNormal="70" zoomScaleSheetLayoutView="85" workbookViewId="0">
      <selection activeCell="F8" sqref="F8"/>
    </sheetView>
  </sheetViews>
  <sheetFormatPr defaultColWidth="8.69921875" defaultRowHeight="17.399999999999999"/>
  <cols>
    <col min="1" max="2" width="6.09765625" customWidth="1"/>
    <col min="3" max="3" width="20" customWidth="1"/>
    <col min="4" max="4" width="33.59765625" customWidth="1"/>
    <col min="5" max="5" width="23.09765625" bestFit="1" customWidth="1"/>
    <col min="6" max="6" width="19.59765625" bestFit="1" customWidth="1"/>
    <col min="7" max="7" width="5.3984375" bestFit="1" customWidth="1"/>
    <col min="8" max="8" width="4.69921875" bestFit="1" customWidth="1"/>
    <col min="9" max="9" width="7.09765625" bestFit="1" customWidth="1"/>
    <col min="10" max="10" width="8.69921875" bestFit="1" customWidth="1"/>
    <col min="11" max="11" width="4.69921875" bestFit="1" customWidth="1"/>
    <col min="12" max="12" width="8.8984375" style="185" customWidth="1"/>
    <col min="13" max="13" width="5.3984375" bestFit="1" customWidth="1"/>
    <col min="14" max="14" width="18.09765625" bestFit="1" customWidth="1"/>
    <col min="15" max="15" width="10" customWidth="1"/>
    <col min="18" max="18" width="11.3984375" bestFit="1" customWidth="1"/>
    <col min="19" max="19" width="9.8984375" bestFit="1" customWidth="1"/>
    <col min="20" max="20" width="11.3984375" bestFit="1" customWidth="1"/>
    <col min="21" max="21" width="12.59765625" bestFit="1" customWidth="1"/>
  </cols>
  <sheetData>
    <row r="1" spans="1:20" ht="25.8">
      <c r="A1" s="400" t="s">
        <v>1353</v>
      </c>
      <c r="B1" s="346"/>
      <c r="C1" s="346"/>
      <c r="D1" s="346"/>
      <c r="E1" s="346"/>
      <c r="F1" s="346"/>
      <c r="G1" s="346"/>
      <c r="H1" s="346"/>
      <c r="I1" s="346"/>
      <c r="J1" s="346"/>
      <c r="K1" s="346"/>
      <c r="L1" s="346"/>
      <c r="M1" s="346"/>
      <c r="N1" s="346"/>
      <c r="O1" s="346"/>
    </row>
    <row r="2" spans="1:20" ht="18" thickBot="1">
      <c r="A2" s="4"/>
      <c r="B2" s="4"/>
      <c r="C2" s="347"/>
      <c r="D2" s="347"/>
      <c r="E2" s="347"/>
      <c r="F2" s="347"/>
      <c r="G2" s="347"/>
      <c r="H2" s="347"/>
      <c r="I2" s="347"/>
      <c r="J2" s="347"/>
      <c r="K2" s="347"/>
      <c r="L2" s="347"/>
      <c r="M2" s="347"/>
      <c r="N2" s="347"/>
      <c r="O2" s="347"/>
    </row>
    <row r="3" spans="1:20">
      <c r="A3" s="348" t="s">
        <v>26</v>
      </c>
      <c r="B3" s="350" t="s">
        <v>27</v>
      </c>
      <c r="C3" s="350" t="s">
        <v>28</v>
      </c>
      <c r="D3" s="350" t="s">
        <v>176</v>
      </c>
      <c r="E3" s="352" t="s">
        <v>1</v>
      </c>
      <c r="F3" s="352"/>
      <c r="G3" s="352"/>
      <c r="H3" s="352"/>
      <c r="I3" s="352"/>
      <c r="J3" s="352"/>
      <c r="K3" s="352"/>
      <c r="L3" s="352"/>
      <c r="M3" s="352"/>
      <c r="N3" s="353" t="s">
        <v>2</v>
      </c>
      <c r="O3" s="355" t="s">
        <v>144</v>
      </c>
    </row>
    <row r="4" spans="1:20">
      <c r="A4" s="349"/>
      <c r="B4" s="351"/>
      <c r="C4" s="351"/>
      <c r="D4" s="351"/>
      <c r="E4" s="16" t="s">
        <v>41</v>
      </c>
      <c r="F4" s="16" t="s">
        <v>47</v>
      </c>
      <c r="G4" s="16" t="s">
        <v>42</v>
      </c>
      <c r="H4" s="16" t="s">
        <v>6</v>
      </c>
      <c r="I4" s="16" t="s">
        <v>48</v>
      </c>
      <c r="J4" s="16" t="s">
        <v>42</v>
      </c>
      <c r="K4" s="16" t="s">
        <v>6</v>
      </c>
      <c r="L4" s="181" t="s">
        <v>49</v>
      </c>
      <c r="M4" s="16" t="s">
        <v>42</v>
      </c>
      <c r="N4" s="354"/>
      <c r="O4" s="356"/>
    </row>
    <row r="5" spans="1:20" ht="31.5" customHeight="1">
      <c r="A5" s="369"/>
      <c r="B5" s="370" t="s">
        <v>52</v>
      </c>
      <c r="C5" s="29" t="s">
        <v>169</v>
      </c>
      <c r="D5" s="63" t="s">
        <v>227</v>
      </c>
      <c r="E5" s="63" t="s">
        <v>228</v>
      </c>
      <c r="F5" s="190">
        <v>40000</v>
      </c>
      <c r="G5" s="191" t="s">
        <v>7</v>
      </c>
      <c r="H5" s="191" t="s">
        <v>4</v>
      </c>
      <c r="I5" s="190">
        <v>8</v>
      </c>
      <c r="J5" s="189" t="s">
        <v>8</v>
      </c>
      <c r="K5" s="191" t="s">
        <v>4</v>
      </c>
      <c r="L5" s="190">
        <v>8</v>
      </c>
      <c r="M5" s="259" t="s">
        <v>18</v>
      </c>
      <c r="N5" s="66">
        <f t="shared" ref="N5:N26" si="0">F5*I5*L5</f>
        <v>2560000</v>
      </c>
      <c r="O5" s="11"/>
    </row>
    <row r="6" spans="1:20" ht="31.5" customHeight="1">
      <c r="A6" s="369"/>
      <c r="B6" s="370"/>
      <c r="C6" s="31"/>
      <c r="D6" s="65" t="s">
        <v>227</v>
      </c>
      <c r="E6" s="271" t="s">
        <v>1361</v>
      </c>
      <c r="F6" s="272">
        <v>30000</v>
      </c>
      <c r="G6" s="65" t="s">
        <v>1369</v>
      </c>
      <c r="H6" s="65" t="s">
        <v>4</v>
      </c>
      <c r="I6" s="273">
        <v>1</v>
      </c>
      <c r="J6" s="65" t="s">
        <v>1359</v>
      </c>
      <c r="K6" s="65" t="s">
        <v>1370</v>
      </c>
      <c r="L6" s="273">
        <v>17</v>
      </c>
      <c r="M6" s="65" t="s">
        <v>1371</v>
      </c>
      <c r="N6" s="66">
        <f t="shared" si="0"/>
        <v>510000</v>
      </c>
      <c r="O6" s="11"/>
      <c r="R6" s="79"/>
    </row>
    <row r="7" spans="1:20" ht="31.5" customHeight="1">
      <c r="A7" s="369"/>
      <c r="B7" s="370"/>
      <c r="C7" s="31"/>
      <c r="D7" s="65" t="s">
        <v>227</v>
      </c>
      <c r="E7" s="271" t="s">
        <v>1363</v>
      </c>
      <c r="F7" s="272">
        <v>210000</v>
      </c>
      <c r="G7" s="65" t="s">
        <v>1369</v>
      </c>
      <c r="H7" s="65" t="s">
        <v>4</v>
      </c>
      <c r="I7" s="273">
        <v>1</v>
      </c>
      <c r="J7" s="65" t="s">
        <v>1358</v>
      </c>
      <c r="K7" s="65" t="s">
        <v>1370</v>
      </c>
      <c r="L7" s="273">
        <v>2</v>
      </c>
      <c r="M7" s="65" t="s">
        <v>1372</v>
      </c>
      <c r="N7" s="66">
        <f t="shared" si="0"/>
        <v>420000</v>
      </c>
      <c r="O7" s="11"/>
    </row>
    <row r="8" spans="1:20" ht="31.5" customHeight="1">
      <c r="A8" s="369"/>
      <c r="B8" s="370"/>
      <c r="C8" s="31"/>
      <c r="D8" s="65" t="s">
        <v>227</v>
      </c>
      <c r="E8" s="271" t="s">
        <v>1365</v>
      </c>
      <c r="F8" s="272">
        <v>1155000</v>
      </c>
      <c r="G8" s="65" t="s">
        <v>1369</v>
      </c>
      <c r="H8" s="65" t="s">
        <v>4</v>
      </c>
      <c r="I8" s="273">
        <v>1</v>
      </c>
      <c r="J8" s="65" t="s">
        <v>1358</v>
      </c>
      <c r="K8" s="65" t="s">
        <v>1370</v>
      </c>
      <c r="L8" s="273">
        <v>2</v>
      </c>
      <c r="M8" s="65" t="s">
        <v>1372</v>
      </c>
      <c r="N8" s="66">
        <f t="shared" si="0"/>
        <v>2310000</v>
      </c>
      <c r="O8" s="11"/>
    </row>
    <row r="9" spans="1:20" ht="31.5" customHeight="1">
      <c r="A9" s="369"/>
      <c r="B9" s="370"/>
      <c r="C9" s="29" t="s">
        <v>170</v>
      </c>
      <c r="D9" s="65" t="s">
        <v>229</v>
      </c>
      <c r="E9" s="70" t="s">
        <v>256</v>
      </c>
      <c r="F9" s="64">
        <v>298000</v>
      </c>
      <c r="G9" s="65" t="s">
        <v>7</v>
      </c>
      <c r="H9" s="65" t="s">
        <v>4</v>
      </c>
      <c r="I9" s="260">
        <v>108</v>
      </c>
      <c r="J9" s="254" t="s">
        <v>24</v>
      </c>
      <c r="K9" s="254" t="s">
        <v>6</v>
      </c>
      <c r="L9" s="260">
        <v>1</v>
      </c>
      <c r="M9" s="254" t="s">
        <v>9</v>
      </c>
      <c r="N9" s="180">
        <f t="shared" si="0"/>
        <v>32184000</v>
      </c>
      <c r="O9" s="11"/>
    </row>
    <row r="10" spans="1:20" ht="31.5" customHeight="1">
      <c r="A10" s="369"/>
      <c r="B10" s="370"/>
      <c r="C10" s="33"/>
      <c r="D10" s="65" t="s">
        <v>232</v>
      </c>
      <c r="E10" s="67" t="s">
        <v>231</v>
      </c>
      <c r="F10" s="190">
        <v>5751</v>
      </c>
      <c r="G10" s="65" t="s">
        <v>7</v>
      </c>
      <c r="H10" s="65" t="s">
        <v>4</v>
      </c>
      <c r="I10" s="260">
        <v>20</v>
      </c>
      <c r="J10" s="254" t="s">
        <v>24</v>
      </c>
      <c r="K10" s="254" t="s">
        <v>6</v>
      </c>
      <c r="L10" s="256">
        <v>30</v>
      </c>
      <c r="M10" s="254" t="s">
        <v>9</v>
      </c>
      <c r="N10" s="66">
        <f t="shared" si="0"/>
        <v>3450600</v>
      </c>
      <c r="O10" s="11"/>
    </row>
    <row r="11" spans="1:20" ht="31.5" customHeight="1">
      <c r="A11" s="369"/>
      <c r="B11" s="370"/>
      <c r="C11" s="53" t="s">
        <v>171</v>
      </c>
      <c r="D11" s="65"/>
      <c r="E11" s="67"/>
      <c r="F11" s="64"/>
      <c r="G11" s="65" t="s">
        <v>7</v>
      </c>
      <c r="H11" s="65" t="s">
        <v>4</v>
      </c>
      <c r="I11" s="260"/>
      <c r="J11" s="254" t="s">
        <v>150</v>
      </c>
      <c r="K11" s="254" t="s">
        <v>6</v>
      </c>
      <c r="L11" s="260"/>
      <c r="M11" s="254" t="s">
        <v>9</v>
      </c>
      <c r="N11" s="66">
        <f t="shared" si="0"/>
        <v>0</v>
      </c>
      <c r="O11" s="11"/>
    </row>
    <row r="12" spans="1:20" ht="31.5" customHeight="1">
      <c r="A12" s="369"/>
      <c r="B12" s="370"/>
      <c r="C12" s="31"/>
      <c r="D12" s="65"/>
      <c r="E12" s="67"/>
      <c r="F12" s="64"/>
      <c r="G12" s="65"/>
      <c r="H12" s="65"/>
      <c r="I12" s="260"/>
      <c r="J12" s="254"/>
      <c r="K12" s="254"/>
      <c r="L12" s="260"/>
      <c r="M12" s="254"/>
      <c r="N12" s="66">
        <f t="shared" si="0"/>
        <v>0</v>
      </c>
      <c r="O12" s="11"/>
      <c r="T12" s="79"/>
    </row>
    <row r="13" spans="1:20" ht="31.5" customHeight="1">
      <c r="A13" s="369"/>
      <c r="B13" s="370"/>
      <c r="C13" s="54" t="s">
        <v>172</v>
      </c>
      <c r="D13" s="65" t="s">
        <v>14</v>
      </c>
      <c r="E13" s="67" t="s">
        <v>233</v>
      </c>
      <c r="F13" s="64">
        <v>100000</v>
      </c>
      <c r="G13" s="65" t="s">
        <v>7</v>
      </c>
      <c r="H13" s="65" t="s">
        <v>4</v>
      </c>
      <c r="I13" s="260">
        <v>8</v>
      </c>
      <c r="J13" s="254" t="s">
        <v>241</v>
      </c>
      <c r="K13" s="254" t="s">
        <v>6</v>
      </c>
      <c r="L13" s="260">
        <v>36</v>
      </c>
      <c r="M13" s="254" t="s">
        <v>9</v>
      </c>
      <c r="N13" s="66">
        <f t="shared" si="0"/>
        <v>28800000</v>
      </c>
      <c r="O13" s="11"/>
    </row>
    <row r="14" spans="1:20" ht="31.5" customHeight="1">
      <c r="A14" s="369"/>
      <c r="B14" s="370"/>
      <c r="C14" s="31"/>
      <c r="D14" s="65" t="s">
        <v>14</v>
      </c>
      <c r="E14" s="67" t="s">
        <v>234</v>
      </c>
      <c r="F14" s="64">
        <v>60000</v>
      </c>
      <c r="G14" s="65" t="s">
        <v>7</v>
      </c>
      <c r="H14" s="69" t="s">
        <v>6</v>
      </c>
      <c r="I14" s="260">
        <v>8</v>
      </c>
      <c r="J14" s="254" t="s">
        <v>12</v>
      </c>
      <c r="K14" s="254" t="s">
        <v>6</v>
      </c>
      <c r="L14" s="260">
        <v>36</v>
      </c>
      <c r="M14" s="254" t="s">
        <v>9</v>
      </c>
      <c r="N14" s="66">
        <f t="shared" si="0"/>
        <v>17280000</v>
      </c>
      <c r="O14" s="11"/>
      <c r="T14" s="80"/>
    </row>
    <row r="15" spans="1:20" ht="31.5" customHeight="1">
      <c r="A15" s="369"/>
      <c r="B15" s="370"/>
      <c r="C15" s="31"/>
      <c r="D15" s="65" t="s">
        <v>235</v>
      </c>
      <c r="E15" s="67" t="s">
        <v>236</v>
      </c>
      <c r="F15" s="64">
        <v>100000</v>
      </c>
      <c r="G15" s="68" t="s">
        <v>7</v>
      </c>
      <c r="H15" s="68" t="s">
        <v>6</v>
      </c>
      <c r="I15" s="265">
        <v>1</v>
      </c>
      <c r="J15" s="265" t="s">
        <v>12</v>
      </c>
      <c r="K15" s="265" t="s">
        <v>6</v>
      </c>
      <c r="L15" s="274">
        <v>46</v>
      </c>
      <c r="M15" s="68" t="s">
        <v>9</v>
      </c>
      <c r="N15" s="66">
        <f>F15*I15*L15</f>
        <v>4600000</v>
      </c>
      <c r="O15" s="11"/>
    </row>
    <row r="16" spans="1:20" ht="31.5" customHeight="1">
      <c r="A16" s="369"/>
      <c r="B16" s="370"/>
      <c r="C16" s="31"/>
      <c r="D16" s="65" t="s">
        <v>237</v>
      </c>
      <c r="E16" s="70" t="s">
        <v>238</v>
      </c>
      <c r="F16" s="64">
        <v>250000</v>
      </c>
      <c r="G16" s="65" t="s">
        <v>7</v>
      </c>
      <c r="H16" s="65" t="s">
        <v>4</v>
      </c>
      <c r="I16" s="260">
        <v>1</v>
      </c>
      <c r="J16" s="254" t="s">
        <v>12</v>
      </c>
      <c r="K16" s="254" t="s">
        <v>6</v>
      </c>
      <c r="L16" s="260">
        <v>12</v>
      </c>
      <c r="M16" s="254" t="s">
        <v>9</v>
      </c>
      <c r="N16" s="66">
        <f t="shared" si="0"/>
        <v>3000000</v>
      </c>
      <c r="O16" s="11"/>
      <c r="T16" s="80"/>
    </row>
    <row r="17" spans="1:21" ht="31.5" customHeight="1">
      <c r="A17" s="369"/>
      <c r="B17" s="370"/>
      <c r="C17" s="31"/>
      <c r="D17" s="65" t="s">
        <v>247</v>
      </c>
      <c r="E17" s="70" t="s">
        <v>247</v>
      </c>
      <c r="F17" s="64">
        <v>10000</v>
      </c>
      <c r="G17" s="65" t="s">
        <v>7</v>
      </c>
      <c r="H17" s="65" t="s">
        <v>4</v>
      </c>
      <c r="I17" s="68">
        <v>1</v>
      </c>
      <c r="J17" s="65" t="s">
        <v>12</v>
      </c>
      <c r="K17" s="65" t="s">
        <v>6</v>
      </c>
      <c r="L17" s="68">
        <v>30</v>
      </c>
      <c r="M17" s="254" t="s">
        <v>9</v>
      </c>
      <c r="N17" s="66">
        <f t="shared" si="0"/>
        <v>300000</v>
      </c>
      <c r="O17" s="11"/>
      <c r="S17" s="79"/>
      <c r="T17" s="79"/>
    </row>
    <row r="18" spans="1:21" ht="31.5" customHeight="1">
      <c r="A18" s="369"/>
      <c r="B18" s="370"/>
      <c r="C18" s="54" t="s">
        <v>182</v>
      </c>
      <c r="D18" s="60" t="s">
        <v>183</v>
      </c>
      <c r="E18" s="61" t="s">
        <v>239</v>
      </c>
      <c r="F18" s="64">
        <v>20000</v>
      </c>
      <c r="G18" s="65" t="s">
        <v>7</v>
      </c>
      <c r="H18" s="69" t="s">
        <v>6</v>
      </c>
      <c r="I18" s="68">
        <v>8</v>
      </c>
      <c r="J18" s="65" t="s">
        <v>12</v>
      </c>
      <c r="K18" s="65" t="s">
        <v>6</v>
      </c>
      <c r="L18" s="68">
        <v>25</v>
      </c>
      <c r="M18" s="254" t="s">
        <v>9</v>
      </c>
      <c r="N18" s="66">
        <f t="shared" si="0"/>
        <v>4000000</v>
      </c>
      <c r="O18" s="11"/>
      <c r="S18" s="257"/>
      <c r="T18" s="257"/>
      <c r="U18" s="79"/>
    </row>
    <row r="19" spans="1:21" ht="31.5" customHeight="1">
      <c r="A19" s="369"/>
      <c r="B19" s="370"/>
      <c r="C19" s="31"/>
      <c r="D19" s="60"/>
      <c r="E19" s="61" t="s">
        <v>240</v>
      </c>
      <c r="F19" s="64">
        <v>20000</v>
      </c>
      <c r="G19" s="65" t="s">
        <v>7</v>
      </c>
      <c r="H19" s="69" t="s">
        <v>6</v>
      </c>
      <c r="I19" s="68">
        <v>8</v>
      </c>
      <c r="J19" s="65" t="s">
        <v>12</v>
      </c>
      <c r="K19" s="65" t="s">
        <v>6</v>
      </c>
      <c r="L19" s="68">
        <v>25</v>
      </c>
      <c r="M19" s="254" t="s">
        <v>9</v>
      </c>
      <c r="N19" s="66">
        <f t="shared" ref="N19" si="1">F19*I19*L19</f>
        <v>4000000</v>
      </c>
      <c r="O19" s="11"/>
      <c r="U19" s="80"/>
    </row>
    <row r="20" spans="1:21" ht="31.5" customHeight="1">
      <c r="A20" s="369"/>
      <c r="B20" s="370"/>
      <c r="C20" s="33" t="s">
        <v>173</v>
      </c>
      <c r="D20" s="60" t="s">
        <v>242</v>
      </c>
      <c r="E20" s="62" t="s">
        <v>249</v>
      </c>
      <c r="F20" s="64">
        <v>25000</v>
      </c>
      <c r="G20" s="65" t="s">
        <v>7</v>
      </c>
      <c r="H20" s="69" t="s">
        <v>6</v>
      </c>
      <c r="I20" s="68">
        <v>40</v>
      </c>
      <c r="J20" s="65" t="s">
        <v>241</v>
      </c>
      <c r="K20" s="65" t="s">
        <v>6</v>
      </c>
      <c r="L20" s="68">
        <v>1</v>
      </c>
      <c r="M20" s="254" t="s">
        <v>9</v>
      </c>
      <c r="N20" s="66">
        <f t="shared" si="0"/>
        <v>1000000</v>
      </c>
      <c r="O20" s="11"/>
    </row>
    <row r="21" spans="1:21" ht="31.5" customHeight="1">
      <c r="A21" s="369"/>
      <c r="B21" s="370"/>
      <c r="C21" s="33"/>
      <c r="D21" s="60" t="s">
        <v>243</v>
      </c>
      <c r="E21" s="61" t="s">
        <v>244</v>
      </c>
      <c r="F21" s="64">
        <v>10000</v>
      </c>
      <c r="G21" s="65" t="s">
        <v>7</v>
      </c>
      <c r="H21" s="69" t="s">
        <v>6</v>
      </c>
      <c r="I21" s="68">
        <v>22</v>
      </c>
      <c r="J21" s="65" t="s">
        <v>12</v>
      </c>
      <c r="K21" s="65" t="s">
        <v>6</v>
      </c>
      <c r="L21" s="68">
        <v>60</v>
      </c>
      <c r="M21" s="254" t="s">
        <v>9</v>
      </c>
      <c r="N21" s="66">
        <f t="shared" si="0"/>
        <v>13200000</v>
      </c>
      <c r="O21" s="11"/>
      <c r="U21" s="257"/>
    </row>
    <row r="22" spans="1:21" ht="31.5" customHeight="1">
      <c r="A22" s="369"/>
      <c r="B22" s="370"/>
      <c r="C22" s="54" t="s">
        <v>174</v>
      </c>
      <c r="D22" s="60" t="s">
        <v>245</v>
      </c>
      <c r="E22" s="61" t="s">
        <v>245</v>
      </c>
      <c r="F22" s="64">
        <v>500</v>
      </c>
      <c r="G22" s="68" t="s">
        <v>7</v>
      </c>
      <c r="H22" s="68" t="s">
        <v>6</v>
      </c>
      <c r="I22" s="265">
        <v>20</v>
      </c>
      <c r="J22" s="265" t="s">
        <v>12</v>
      </c>
      <c r="K22" s="265" t="s">
        <v>6</v>
      </c>
      <c r="L22" s="274">
        <v>29</v>
      </c>
      <c r="M22" s="68" t="s">
        <v>9</v>
      </c>
      <c r="N22" s="66">
        <f t="shared" si="0"/>
        <v>290000</v>
      </c>
      <c r="O22" s="11"/>
      <c r="U22" s="257"/>
    </row>
    <row r="23" spans="1:21" ht="31.5" customHeight="1">
      <c r="A23" s="369"/>
      <c r="B23" s="370"/>
      <c r="C23" s="33"/>
      <c r="D23" s="65"/>
      <c r="E23" s="71"/>
      <c r="F23" s="64"/>
      <c r="G23" s="68"/>
      <c r="H23" s="65"/>
      <c r="I23" s="260"/>
      <c r="J23" s="255"/>
      <c r="K23" s="255"/>
      <c r="L23" s="260"/>
      <c r="M23" s="255"/>
      <c r="N23" s="66">
        <f t="shared" si="0"/>
        <v>0</v>
      </c>
      <c r="O23" s="11"/>
    </row>
    <row r="24" spans="1:21" ht="31.5" customHeight="1">
      <c r="A24" s="369"/>
      <c r="B24" s="370"/>
      <c r="C24" s="33" t="s">
        <v>187</v>
      </c>
      <c r="D24" s="60" t="s">
        <v>246</v>
      </c>
      <c r="E24" s="61" t="s">
        <v>254</v>
      </c>
      <c r="F24" s="64">
        <v>10000</v>
      </c>
      <c r="G24" s="65" t="s">
        <v>7</v>
      </c>
      <c r="H24" s="69" t="s">
        <v>6</v>
      </c>
      <c r="I24" s="68">
        <v>32</v>
      </c>
      <c r="J24" s="65" t="s">
        <v>248</v>
      </c>
      <c r="K24" s="65" t="s">
        <v>6</v>
      </c>
      <c r="L24" s="68">
        <v>3</v>
      </c>
      <c r="M24" s="254" t="s">
        <v>9</v>
      </c>
      <c r="N24" s="66">
        <f t="shared" si="0"/>
        <v>960000</v>
      </c>
      <c r="O24" s="11"/>
    </row>
    <row r="25" spans="1:21" ht="31.5" customHeight="1">
      <c r="A25" s="369"/>
      <c r="B25" s="370"/>
      <c r="C25" s="31"/>
      <c r="D25" s="65"/>
      <c r="E25" s="67"/>
      <c r="F25" s="64"/>
      <c r="G25" s="65"/>
      <c r="H25" s="69"/>
      <c r="I25" s="260"/>
      <c r="J25" s="254"/>
      <c r="K25" s="254"/>
      <c r="L25" s="260"/>
      <c r="M25" s="254"/>
      <c r="N25" s="66">
        <f t="shared" si="0"/>
        <v>0</v>
      </c>
      <c r="O25" s="11"/>
    </row>
    <row r="26" spans="1:21" ht="31.5" customHeight="1">
      <c r="A26" s="369"/>
      <c r="B26" s="370"/>
      <c r="C26" s="33" t="s">
        <v>175</v>
      </c>
      <c r="D26" s="65"/>
      <c r="E26" s="67"/>
      <c r="F26" s="64"/>
      <c r="G26" s="65"/>
      <c r="H26" s="69"/>
      <c r="I26" s="68"/>
      <c r="J26" s="65"/>
      <c r="K26" s="65"/>
      <c r="L26" s="182"/>
      <c r="M26" s="65"/>
      <c r="N26" s="66">
        <f t="shared" si="0"/>
        <v>0</v>
      </c>
      <c r="O26" s="11"/>
    </row>
    <row r="27" spans="1:21" ht="27" customHeight="1">
      <c r="A27" s="371" t="s">
        <v>210</v>
      </c>
      <c r="B27" s="372"/>
      <c r="C27" s="372"/>
      <c r="D27" s="372"/>
      <c r="E27" s="372"/>
      <c r="F27" s="372"/>
      <c r="G27" s="372"/>
      <c r="H27" s="372"/>
      <c r="I27" s="372"/>
      <c r="J27" s="372"/>
      <c r="K27" s="372"/>
      <c r="L27" s="372"/>
      <c r="M27" s="372"/>
      <c r="N27" s="46">
        <f>SUM(N5:N26)</f>
        <v>118864600</v>
      </c>
      <c r="O27" s="52"/>
    </row>
    <row r="28" spans="1:21" ht="18" thickBot="1">
      <c r="A28" s="6"/>
      <c r="B28" s="6"/>
      <c r="C28" s="6"/>
      <c r="D28" s="6"/>
      <c r="E28" s="6"/>
      <c r="F28" s="6"/>
      <c r="G28" s="6"/>
      <c r="H28" s="6"/>
      <c r="I28" s="6"/>
      <c r="J28" s="6"/>
      <c r="K28" s="6"/>
      <c r="L28" s="184"/>
      <c r="M28" s="6"/>
      <c r="N28" s="6"/>
      <c r="O28" s="6"/>
    </row>
    <row r="29" spans="1:21" ht="18.600000000000001" thickTop="1" thickBot="1">
      <c r="A29" s="357" t="s">
        <v>45</v>
      </c>
      <c r="B29" s="358"/>
      <c r="C29" s="358"/>
      <c r="D29" s="358"/>
      <c r="E29" s="359"/>
      <c r="U29" t="s">
        <v>46</v>
      </c>
    </row>
    <row r="30" spans="1:21" ht="30" customHeight="1">
      <c r="A30" s="360" t="s">
        <v>192</v>
      </c>
      <c r="B30" s="361"/>
      <c r="C30" s="361"/>
      <c r="D30" s="361"/>
      <c r="E30" s="361"/>
      <c r="F30" s="361"/>
      <c r="G30" s="361"/>
      <c r="H30" s="361"/>
      <c r="I30" s="361"/>
      <c r="J30" s="361"/>
      <c r="K30" s="361"/>
      <c r="L30" s="361"/>
      <c r="M30" s="361"/>
      <c r="N30" s="361"/>
      <c r="O30" s="362"/>
    </row>
    <row r="31" spans="1:21" ht="30" customHeight="1">
      <c r="A31" s="363"/>
      <c r="B31" s="364"/>
      <c r="C31" s="364"/>
      <c r="D31" s="364"/>
      <c r="E31" s="364"/>
      <c r="F31" s="364"/>
      <c r="G31" s="364"/>
      <c r="H31" s="364"/>
      <c r="I31" s="364"/>
      <c r="J31" s="364"/>
      <c r="K31" s="364"/>
      <c r="L31" s="364"/>
      <c r="M31" s="364"/>
      <c r="N31" s="364"/>
      <c r="O31" s="365"/>
    </row>
    <row r="32" spans="1:21" ht="30" customHeight="1">
      <c r="A32" s="363"/>
      <c r="B32" s="364"/>
      <c r="C32" s="364"/>
      <c r="D32" s="364"/>
      <c r="E32" s="364"/>
      <c r="F32" s="364"/>
      <c r="G32" s="364"/>
      <c r="H32" s="364"/>
      <c r="I32" s="364"/>
      <c r="J32" s="364"/>
      <c r="K32" s="364"/>
      <c r="L32" s="364"/>
      <c r="M32" s="364"/>
      <c r="N32" s="364"/>
      <c r="O32" s="365"/>
    </row>
    <row r="33" spans="1:20" ht="30" customHeight="1">
      <c r="A33" s="363"/>
      <c r="B33" s="364"/>
      <c r="C33" s="364"/>
      <c r="D33" s="364"/>
      <c r="E33" s="364"/>
      <c r="F33" s="364"/>
      <c r="G33" s="364"/>
      <c r="H33" s="364"/>
      <c r="I33" s="364"/>
      <c r="J33" s="364"/>
      <c r="K33" s="364"/>
      <c r="L33" s="364"/>
      <c r="M33" s="364"/>
      <c r="N33" s="364"/>
      <c r="O33" s="365"/>
      <c r="T33" t="s">
        <v>190</v>
      </c>
    </row>
    <row r="34" spans="1:20" ht="30" customHeight="1">
      <c r="A34" s="363"/>
      <c r="B34" s="364"/>
      <c r="C34" s="364"/>
      <c r="D34" s="364"/>
      <c r="E34" s="364"/>
      <c r="F34" s="364"/>
      <c r="G34" s="364"/>
      <c r="H34" s="364"/>
      <c r="I34" s="364"/>
      <c r="J34" s="364"/>
      <c r="K34" s="364"/>
      <c r="L34" s="364"/>
      <c r="M34" s="364"/>
      <c r="N34" s="364"/>
      <c r="O34" s="365"/>
    </row>
    <row r="35" spans="1:20" ht="30" customHeight="1">
      <c r="A35" s="363"/>
      <c r="B35" s="364"/>
      <c r="C35" s="364"/>
      <c r="D35" s="364"/>
      <c r="E35" s="364"/>
      <c r="F35" s="364"/>
      <c r="G35" s="364"/>
      <c r="H35" s="364"/>
      <c r="I35" s="364"/>
      <c r="J35" s="364"/>
      <c r="K35" s="364"/>
      <c r="L35" s="364"/>
      <c r="M35" s="364"/>
      <c r="N35" s="364"/>
      <c r="O35" s="365"/>
    </row>
    <row r="36" spans="1:20" ht="30" customHeight="1">
      <c r="A36" s="363"/>
      <c r="B36" s="364"/>
      <c r="C36" s="364"/>
      <c r="D36" s="364"/>
      <c r="E36" s="364"/>
      <c r="F36" s="364"/>
      <c r="G36" s="364"/>
      <c r="H36" s="364"/>
      <c r="I36" s="364"/>
      <c r="J36" s="364"/>
      <c r="K36" s="364"/>
      <c r="L36" s="364"/>
      <c r="M36" s="364"/>
      <c r="N36" s="364"/>
      <c r="O36" s="365"/>
    </row>
    <row r="37" spans="1:20" ht="30" customHeight="1" thickBot="1">
      <c r="A37" s="366"/>
      <c r="B37" s="367"/>
      <c r="C37" s="367"/>
      <c r="D37" s="367"/>
      <c r="E37" s="367"/>
      <c r="F37" s="367"/>
      <c r="G37" s="367"/>
      <c r="H37" s="367"/>
      <c r="I37" s="367"/>
      <c r="J37" s="367"/>
      <c r="K37" s="367"/>
      <c r="L37" s="367"/>
      <c r="M37" s="367"/>
      <c r="N37" s="367"/>
      <c r="O37" s="368"/>
    </row>
  </sheetData>
  <mergeCells count="14">
    <mergeCell ref="A1:O1"/>
    <mergeCell ref="C2:O2"/>
    <mergeCell ref="A3:A4"/>
    <mergeCell ref="B3:B4"/>
    <mergeCell ref="C3:C4"/>
    <mergeCell ref="D3:D4"/>
    <mergeCell ref="E3:M3"/>
    <mergeCell ref="N3:N4"/>
    <mergeCell ref="O3:O4"/>
    <mergeCell ref="A5:A26"/>
    <mergeCell ref="B5:B26"/>
    <mergeCell ref="A27:M27"/>
    <mergeCell ref="A29:E29"/>
    <mergeCell ref="A30:O37"/>
  </mergeCells>
  <phoneticPr fontId="2" type="noConversion"/>
  <pageMargins left="0.7" right="0.7" top="0.75" bottom="0.75" header="0.3" footer="0.3"/>
  <pageSetup paperSize="9" scale="4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P56"/>
  <sheetViews>
    <sheetView view="pageBreakPreview" zoomScale="75" zoomScaleNormal="75" zoomScaleSheetLayoutView="75" workbookViewId="0">
      <pane ySplit="4" topLeftCell="A34" activePane="bottomLeft" state="frozen"/>
      <selection activeCell="D1" sqref="D1"/>
      <selection pane="bottomLeft" activeCell="P23" sqref="P23"/>
    </sheetView>
  </sheetViews>
  <sheetFormatPr defaultColWidth="9" defaultRowHeight="17.399999999999999"/>
  <cols>
    <col min="1" max="1" width="7.8984375" customWidth="1"/>
    <col min="2" max="2" width="8.69921875" customWidth="1"/>
    <col min="3" max="3" width="26.09765625" customWidth="1"/>
    <col min="4" max="4" width="18.09765625" customWidth="1"/>
    <col min="5" max="5" width="24.69921875" customWidth="1"/>
    <col min="6" max="6" width="16.09765625" customWidth="1"/>
    <col min="7" max="7" width="7.59765625" customWidth="1"/>
    <col min="8" max="8" width="6.09765625" customWidth="1"/>
    <col min="9" max="9" width="7.59765625" customWidth="1"/>
    <col min="10" max="10" width="7.09765625" customWidth="1"/>
    <col min="11" max="11" width="6.59765625" customWidth="1"/>
    <col min="12" max="12" width="8.69921875" customWidth="1"/>
    <col min="14" max="14" width="17.8984375" customWidth="1"/>
    <col min="15" max="15" width="10.59765625" hidden="1" customWidth="1"/>
    <col min="16" max="16" width="117.59765625" style="287" customWidth="1"/>
  </cols>
  <sheetData>
    <row r="1" spans="1:16" ht="71.25" customHeight="1">
      <c r="A1" s="401" t="s">
        <v>1356</v>
      </c>
      <c r="B1" s="402"/>
      <c r="C1" s="402"/>
      <c r="D1" s="402"/>
      <c r="E1" s="402"/>
      <c r="F1" s="402"/>
      <c r="G1" s="402"/>
      <c r="H1" s="402"/>
      <c r="I1" s="402"/>
      <c r="J1" s="402"/>
      <c r="K1" s="402"/>
      <c r="L1" s="402"/>
      <c r="M1" s="402"/>
      <c r="N1" s="402"/>
      <c r="O1" s="402"/>
    </row>
    <row r="2" spans="1:16" ht="18" thickBot="1"/>
    <row r="3" spans="1:16">
      <c r="A3" s="348" t="s">
        <v>26</v>
      </c>
      <c r="B3" s="350" t="s">
        <v>27</v>
      </c>
      <c r="C3" s="350" t="s">
        <v>28</v>
      </c>
      <c r="D3" s="350" t="s">
        <v>176</v>
      </c>
      <c r="E3" s="352" t="s">
        <v>1</v>
      </c>
      <c r="F3" s="352"/>
      <c r="G3" s="352"/>
      <c r="H3" s="352"/>
      <c r="I3" s="352"/>
      <c r="J3" s="352"/>
      <c r="K3" s="352"/>
      <c r="L3" s="352"/>
      <c r="M3" s="352"/>
      <c r="N3" s="353" t="s">
        <v>2</v>
      </c>
      <c r="O3" s="406" t="s">
        <v>3</v>
      </c>
      <c r="P3" s="408"/>
    </row>
    <row r="4" spans="1:16">
      <c r="A4" s="403"/>
      <c r="B4" s="404"/>
      <c r="C4" s="404"/>
      <c r="D4" s="404"/>
      <c r="E4" s="282" t="s">
        <v>41</v>
      </c>
      <c r="F4" s="282" t="s">
        <v>47</v>
      </c>
      <c r="G4" s="282" t="s">
        <v>42</v>
      </c>
      <c r="H4" s="282" t="s">
        <v>6</v>
      </c>
      <c r="I4" s="282" t="s">
        <v>48</v>
      </c>
      <c r="J4" s="282" t="s">
        <v>42</v>
      </c>
      <c r="K4" s="282" t="s">
        <v>6</v>
      </c>
      <c r="L4" s="282" t="s">
        <v>49</v>
      </c>
      <c r="M4" s="282" t="s">
        <v>42</v>
      </c>
      <c r="N4" s="405"/>
      <c r="O4" s="407"/>
      <c r="P4" s="408"/>
    </row>
    <row r="5" spans="1:16" s="188" customFormat="1" ht="35.4" customHeight="1">
      <c r="A5" s="370" t="s">
        <v>17</v>
      </c>
      <c r="B5" s="370" t="s">
        <v>52</v>
      </c>
      <c r="C5" s="29" t="s">
        <v>169</v>
      </c>
      <c r="D5" s="189" t="s">
        <v>227</v>
      </c>
      <c r="E5" s="189" t="s">
        <v>228</v>
      </c>
      <c r="F5" s="190">
        <v>40000</v>
      </c>
      <c r="G5" s="191" t="s">
        <v>7</v>
      </c>
      <c r="H5" s="191" t="s">
        <v>4</v>
      </c>
      <c r="I5" s="190">
        <v>62</v>
      </c>
      <c r="J5" s="189" t="s">
        <v>8</v>
      </c>
      <c r="K5" s="191" t="s">
        <v>4</v>
      </c>
      <c r="L5" s="190">
        <v>8</v>
      </c>
      <c r="M5" s="189" t="s">
        <v>18</v>
      </c>
      <c r="N5" s="193">
        <f t="shared" ref="N5:N32" si="0">F5*I5*L5</f>
        <v>19840000</v>
      </c>
      <c r="O5" s="420">
        <f>N33/N48</f>
        <v>0.85006299874002522</v>
      </c>
      <c r="P5" s="288" t="s">
        <v>1373</v>
      </c>
    </row>
    <row r="6" spans="1:16" s="188" customFormat="1" ht="40.049999999999997" customHeight="1">
      <c r="A6" s="370"/>
      <c r="B6" s="370"/>
      <c r="C6" s="29"/>
      <c r="D6" s="189" t="s">
        <v>227</v>
      </c>
      <c r="E6" s="267" t="s">
        <v>1362</v>
      </c>
      <c r="F6" s="268">
        <v>30000</v>
      </c>
      <c r="G6" s="191" t="s">
        <v>7</v>
      </c>
      <c r="H6" s="191" t="s">
        <v>4</v>
      </c>
      <c r="I6" s="269">
        <v>1</v>
      </c>
      <c r="J6" s="270" t="s">
        <v>1359</v>
      </c>
      <c r="K6" s="191" t="s">
        <v>6</v>
      </c>
      <c r="L6" s="269">
        <v>34</v>
      </c>
      <c r="M6" s="191" t="s">
        <v>9</v>
      </c>
      <c r="N6" s="193">
        <f t="shared" si="0"/>
        <v>1020000</v>
      </c>
      <c r="O6" s="420"/>
      <c r="P6" s="289" t="s">
        <v>1376</v>
      </c>
    </row>
    <row r="7" spans="1:16" s="188" customFormat="1" ht="40.049999999999997" customHeight="1">
      <c r="A7" s="370"/>
      <c r="B7" s="370"/>
      <c r="C7" s="29"/>
      <c r="D7" s="189" t="s">
        <v>227</v>
      </c>
      <c r="E7" s="267" t="s">
        <v>1364</v>
      </c>
      <c r="F7" s="268">
        <v>210000</v>
      </c>
      <c r="G7" s="191" t="s">
        <v>7</v>
      </c>
      <c r="H7" s="191" t="s">
        <v>4</v>
      </c>
      <c r="I7" s="269">
        <v>1</v>
      </c>
      <c r="J7" s="270" t="s">
        <v>1358</v>
      </c>
      <c r="K7" s="191" t="s">
        <v>6</v>
      </c>
      <c r="L7" s="269">
        <v>4</v>
      </c>
      <c r="M7" s="191" t="s">
        <v>9</v>
      </c>
      <c r="N7" s="193">
        <f t="shared" si="0"/>
        <v>840000</v>
      </c>
      <c r="O7" s="420"/>
      <c r="P7" s="290" t="s">
        <v>1377</v>
      </c>
    </row>
    <row r="8" spans="1:16" s="188" customFormat="1" ht="40.049999999999997" customHeight="1">
      <c r="A8" s="370"/>
      <c r="B8" s="370"/>
      <c r="C8" s="31"/>
      <c r="D8" s="189" t="s">
        <v>227</v>
      </c>
      <c r="E8" s="267" t="s">
        <v>1366</v>
      </c>
      <c r="F8" s="268">
        <v>1155000</v>
      </c>
      <c r="G8" s="191" t="s">
        <v>7</v>
      </c>
      <c r="H8" s="191" t="s">
        <v>4</v>
      </c>
      <c r="I8" s="269">
        <v>1</v>
      </c>
      <c r="J8" s="270" t="s">
        <v>1358</v>
      </c>
      <c r="K8" s="191" t="s">
        <v>6</v>
      </c>
      <c r="L8" s="269">
        <v>4</v>
      </c>
      <c r="M8" s="191" t="s">
        <v>9</v>
      </c>
      <c r="N8" s="193">
        <f t="shared" si="0"/>
        <v>4620000</v>
      </c>
      <c r="O8" s="420"/>
      <c r="P8" s="288" t="s">
        <v>1374</v>
      </c>
    </row>
    <row r="9" spans="1:16" s="188" customFormat="1" ht="40.049999999999997" customHeight="1">
      <c r="A9" s="370"/>
      <c r="B9" s="370"/>
      <c r="C9" s="31"/>
      <c r="D9" s="189" t="s">
        <v>227</v>
      </c>
      <c r="E9" s="267" t="s">
        <v>1368</v>
      </c>
      <c r="F9" s="268">
        <v>230000</v>
      </c>
      <c r="G9" s="191" t="s">
        <v>7</v>
      </c>
      <c r="H9" s="191" t="s">
        <v>4</v>
      </c>
      <c r="I9" s="269">
        <v>1</v>
      </c>
      <c r="J9" s="270" t="s">
        <v>1358</v>
      </c>
      <c r="K9" s="191" t="s">
        <v>6</v>
      </c>
      <c r="L9" s="269">
        <v>1</v>
      </c>
      <c r="M9" s="191" t="s">
        <v>9</v>
      </c>
      <c r="N9" s="193">
        <f t="shared" si="0"/>
        <v>230000</v>
      </c>
      <c r="O9" s="420"/>
      <c r="P9" s="288" t="s">
        <v>1375</v>
      </c>
    </row>
    <row r="10" spans="1:16" s="188" customFormat="1" ht="40.049999999999997" customHeight="1">
      <c r="A10" s="370"/>
      <c r="B10" s="370"/>
      <c r="C10" s="29" t="s">
        <v>170</v>
      </c>
      <c r="D10" s="194" t="s">
        <v>1360</v>
      </c>
      <c r="E10" s="61" t="s">
        <v>230</v>
      </c>
      <c r="F10" s="190">
        <v>55000</v>
      </c>
      <c r="G10" s="191" t="s">
        <v>7</v>
      </c>
      <c r="H10" s="191" t="s">
        <v>4</v>
      </c>
      <c r="I10" s="192">
        <v>186</v>
      </c>
      <c r="J10" s="191" t="s">
        <v>24</v>
      </c>
      <c r="K10" s="191" t="s">
        <v>6</v>
      </c>
      <c r="L10" s="192">
        <v>1</v>
      </c>
      <c r="M10" s="191" t="s">
        <v>9</v>
      </c>
      <c r="N10" s="193">
        <f t="shared" si="0"/>
        <v>10230000</v>
      </c>
      <c r="O10" s="420"/>
      <c r="P10" s="291"/>
    </row>
    <row r="11" spans="1:16" s="188" customFormat="1" ht="40.049999999999997" customHeight="1">
      <c r="A11" s="370"/>
      <c r="B11" s="370"/>
      <c r="C11" s="29"/>
      <c r="D11" s="194" t="s">
        <v>1360</v>
      </c>
      <c r="E11" s="62" t="s">
        <v>250</v>
      </c>
      <c r="F11" s="190">
        <v>298000</v>
      </c>
      <c r="G11" s="191" t="s">
        <v>7</v>
      </c>
      <c r="H11" s="191" t="s">
        <v>4</v>
      </c>
      <c r="I11" s="192">
        <v>201</v>
      </c>
      <c r="J11" s="191" t="s">
        <v>24</v>
      </c>
      <c r="K11" s="191" t="s">
        <v>6</v>
      </c>
      <c r="L11" s="192">
        <v>1</v>
      </c>
      <c r="M11" s="191" t="s">
        <v>9</v>
      </c>
      <c r="N11" s="193">
        <f t="shared" si="0"/>
        <v>59898000</v>
      </c>
      <c r="O11" s="420"/>
      <c r="P11" s="291"/>
    </row>
    <row r="12" spans="1:16" s="188" customFormat="1" ht="40.049999999999997" customHeight="1">
      <c r="A12" s="370"/>
      <c r="B12" s="370"/>
      <c r="C12" s="29"/>
      <c r="D12" s="194" t="s">
        <v>1360</v>
      </c>
      <c r="E12" s="62" t="s">
        <v>251</v>
      </c>
      <c r="F12" s="190">
        <v>77000</v>
      </c>
      <c r="G12" s="191" t="s">
        <v>7</v>
      </c>
      <c r="H12" s="191" t="s">
        <v>4</v>
      </c>
      <c r="I12" s="192">
        <v>169</v>
      </c>
      <c r="J12" s="191" t="s">
        <v>24</v>
      </c>
      <c r="K12" s="191" t="s">
        <v>6</v>
      </c>
      <c r="L12" s="192">
        <v>1</v>
      </c>
      <c r="M12" s="191" t="s">
        <v>9</v>
      </c>
      <c r="N12" s="193">
        <f t="shared" si="0"/>
        <v>13013000</v>
      </c>
      <c r="O12" s="420"/>
      <c r="P12" s="291"/>
    </row>
    <row r="13" spans="1:16" s="188" customFormat="1" ht="40.049999999999997" customHeight="1">
      <c r="A13" s="370"/>
      <c r="B13" s="370"/>
      <c r="C13" s="29"/>
      <c r="D13" s="194" t="s">
        <v>1360</v>
      </c>
      <c r="E13" s="62" t="s">
        <v>252</v>
      </c>
      <c r="F13" s="190">
        <v>298000</v>
      </c>
      <c r="G13" s="191" t="s">
        <v>7</v>
      </c>
      <c r="H13" s="191" t="s">
        <v>4</v>
      </c>
      <c r="I13" s="192">
        <v>218</v>
      </c>
      <c r="J13" s="191" t="s">
        <v>24</v>
      </c>
      <c r="K13" s="191" t="s">
        <v>6</v>
      </c>
      <c r="L13" s="192">
        <v>1</v>
      </c>
      <c r="M13" s="191" t="s">
        <v>9</v>
      </c>
      <c r="N13" s="193">
        <f t="shared" si="0"/>
        <v>64964000</v>
      </c>
      <c r="O13" s="420"/>
      <c r="P13" s="291"/>
    </row>
    <row r="14" spans="1:16" s="188" customFormat="1" ht="40.049999999999997" customHeight="1">
      <c r="A14" s="370"/>
      <c r="B14" s="370"/>
      <c r="C14" s="29"/>
      <c r="D14" s="194" t="s">
        <v>1360</v>
      </c>
      <c r="E14" s="62" t="s">
        <v>253</v>
      </c>
      <c r="F14" s="190">
        <v>77000</v>
      </c>
      <c r="G14" s="191" t="s">
        <v>7</v>
      </c>
      <c r="H14" s="191" t="s">
        <v>4</v>
      </c>
      <c r="I14" s="192">
        <v>175</v>
      </c>
      <c r="J14" s="191" t="s">
        <v>24</v>
      </c>
      <c r="K14" s="191" t="s">
        <v>6</v>
      </c>
      <c r="L14" s="192">
        <v>1</v>
      </c>
      <c r="M14" s="191" t="s">
        <v>9</v>
      </c>
      <c r="N14" s="193">
        <f t="shared" ref="N14:N16" si="1">F14*I14*L14</f>
        <v>13475000</v>
      </c>
      <c r="O14" s="420"/>
      <c r="P14" s="291"/>
    </row>
    <row r="15" spans="1:16" s="188" customFormat="1" ht="40.049999999999997" customHeight="1">
      <c r="A15" s="370"/>
      <c r="B15" s="370"/>
      <c r="C15" s="29"/>
      <c r="D15" s="194" t="s">
        <v>1360</v>
      </c>
      <c r="E15" s="62" t="s">
        <v>255</v>
      </c>
      <c r="F15" s="190">
        <v>298000</v>
      </c>
      <c r="G15" s="191" t="s">
        <v>7</v>
      </c>
      <c r="H15" s="191" t="s">
        <v>4</v>
      </c>
      <c r="I15" s="192">
        <v>134</v>
      </c>
      <c r="J15" s="191" t="s">
        <v>24</v>
      </c>
      <c r="K15" s="191" t="s">
        <v>6</v>
      </c>
      <c r="L15" s="192">
        <v>1</v>
      </c>
      <c r="M15" s="191" t="s">
        <v>9</v>
      </c>
      <c r="N15" s="193">
        <f t="shared" si="1"/>
        <v>39932000</v>
      </c>
      <c r="O15" s="420"/>
      <c r="P15" s="291"/>
    </row>
    <row r="16" spans="1:16" s="188" customFormat="1" ht="40.049999999999997" customHeight="1">
      <c r="A16" s="370"/>
      <c r="B16" s="370"/>
      <c r="C16" s="29"/>
      <c r="D16" s="194" t="s">
        <v>1360</v>
      </c>
      <c r="E16" s="62" t="s">
        <v>256</v>
      </c>
      <c r="F16" s="190">
        <v>298000</v>
      </c>
      <c r="G16" s="191" t="s">
        <v>7</v>
      </c>
      <c r="H16" s="191" t="s">
        <v>4</v>
      </c>
      <c r="I16" s="192">
        <v>108</v>
      </c>
      <c r="J16" s="191" t="s">
        <v>24</v>
      </c>
      <c r="K16" s="191" t="s">
        <v>6</v>
      </c>
      <c r="L16" s="192">
        <v>1</v>
      </c>
      <c r="M16" s="191" t="s">
        <v>9</v>
      </c>
      <c r="N16" s="193">
        <f t="shared" si="1"/>
        <v>32184000</v>
      </c>
      <c r="O16" s="420"/>
      <c r="P16" s="291"/>
    </row>
    <row r="17" spans="1:16" s="188" customFormat="1" ht="40.049999999999997" customHeight="1">
      <c r="A17" s="370"/>
      <c r="B17" s="370"/>
      <c r="C17" s="33"/>
      <c r="D17" s="191" t="s">
        <v>232</v>
      </c>
      <c r="E17" s="61" t="s">
        <v>231</v>
      </c>
      <c r="F17" s="190">
        <v>5751</v>
      </c>
      <c r="G17" s="191" t="s">
        <v>7</v>
      </c>
      <c r="H17" s="191" t="s">
        <v>4</v>
      </c>
      <c r="I17" s="192">
        <v>20</v>
      </c>
      <c r="J17" s="191" t="s">
        <v>24</v>
      </c>
      <c r="K17" s="191" t="s">
        <v>6</v>
      </c>
      <c r="L17" s="192">
        <v>200</v>
      </c>
      <c r="M17" s="191" t="s">
        <v>9</v>
      </c>
      <c r="N17" s="193">
        <f t="shared" si="0"/>
        <v>23004000</v>
      </c>
      <c r="O17" s="420"/>
      <c r="P17" s="291"/>
    </row>
    <row r="18" spans="1:16" s="188" customFormat="1" ht="40.049999999999997" customHeight="1">
      <c r="A18" s="370"/>
      <c r="B18" s="370"/>
      <c r="C18" s="280" t="s">
        <v>171</v>
      </c>
      <c r="D18" s="277"/>
      <c r="E18" s="281"/>
      <c r="F18" s="276"/>
      <c r="G18" s="277" t="s">
        <v>7</v>
      </c>
      <c r="H18" s="277" t="s">
        <v>4</v>
      </c>
      <c r="I18" s="276"/>
      <c r="J18" s="277" t="s">
        <v>150</v>
      </c>
      <c r="K18" s="277" t="s">
        <v>6</v>
      </c>
      <c r="L18" s="276"/>
      <c r="M18" s="277" t="s">
        <v>9</v>
      </c>
      <c r="N18" s="278">
        <f t="shared" si="0"/>
        <v>0</v>
      </c>
      <c r="O18" s="420"/>
      <c r="P18" s="291"/>
    </row>
    <row r="19" spans="1:16" s="188" customFormat="1" ht="40.049999999999997" customHeight="1">
      <c r="A19" s="370"/>
      <c r="B19" s="370"/>
      <c r="C19" s="54" t="s">
        <v>172</v>
      </c>
      <c r="D19" s="191" t="s">
        <v>14</v>
      </c>
      <c r="E19" s="61" t="s">
        <v>233</v>
      </c>
      <c r="F19" s="195">
        <v>100000</v>
      </c>
      <c r="G19" s="196" t="s">
        <v>7</v>
      </c>
      <c r="H19" s="196" t="s">
        <v>4</v>
      </c>
      <c r="I19" s="195">
        <v>8</v>
      </c>
      <c r="J19" s="196" t="s">
        <v>241</v>
      </c>
      <c r="K19" s="196" t="s">
        <v>6</v>
      </c>
      <c r="L19" s="195">
        <v>253</v>
      </c>
      <c r="M19" s="196" t="s">
        <v>9</v>
      </c>
      <c r="N19" s="193">
        <f>F19*I19*L19</f>
        <v>202400000</v>
      </c>
      <c r="O19" s="420"/>
      <c r="P19" s="291"/>
    </row>
    <row r="20" spans="1:16" s="188" customFormat="1" ht="40.049999999999997" customHeight="1">
      <c r="A20" s="370"/>
      <c r="B20" s="370"/>
      <c r="C20" s="31"/>
      <c r="D20" s="191" t="s">
        <v>14</v>
      </c>
      <c r="E20" s="61" t="s">
        <v>234</v>
      </c>
      <c r="F20" s="195">
        <v>60000</v>
      </c>
      <c r="G20" s="196" t="s">
        <v>7</v>
      </c>
      <c r="H20" s="197" t="s">
        <v>6</v>
      </c>
      <c r="I20" s="195">
        <v>8</v>
      </c>
      <c r="J20" s="196" t="s">
        <v>12</v>
      </c>
      <c r="K20" s="196" t="s">
        <v>6</v>
      </c>
      <c r="L20" s="195">
        <v>253</v>
      </c>
      <c r="M20" s="196" t="s">
        <v>9</v>
      </c>
      <c r="N20" s="193">
        <f>F20*I20*L20</f>
        <v>121440000</v>
      </c>
      <c r="O20" s="420"/>
      <c r="P20" s="291"/>
    </row>
    <row r="21" spans="1:16" ht="40.049999999999997" customHeight="1">
      <c r="A21" s="370"/>
      <c r="B21" s="370"/>
      <c r="C21" s="31"/>
      <c r="D21" s="191" t="s">
        <v>235</v>
      </c>
      <c r="E21" s="61" t="s">
        <v>236</v>
      </c>
      <c r="F21" s="195">
        <v>100000</v>
      </c>
      <c r="G21" s="196" t="s">
        <v>7</v>
      </c>
      <c r="H21" s="197" t="s">
        <v>6</v>
      </c>
      <c r="I21" s="195">
        <v>1</v>
      </c>
      <c r="J21" s="196" t="s">
        <v>12</v>
      </c>
      <c r="K21" s="196" t="s">
        <v>6</v>
      </c>
      <c r="L21" s="195">
        <v>291</v>
      </c>
      <c r="M21" s="196" t="s">
        <v>9</v>
      </c>
      <c r="N21" s="193">
        <f>F21*I21*L21</f>
        <v>29100000</v>
      </c>
      <c r="O21" s="420"/>
      <c r="P21" s="288"/>
    </row>
    <row r="22" spans="1:16" ht="40.049999999999997" customHeight="1">
      <c r="A22" s="370"/>
      <c r="B22" s="370"/>
      <c r="C22" s="31"/>
      <c r="D22" s="191" t="s">
        <v>237</v>
      </c>
      <c r="E22" s="62" t="s">
        <v>238</v>
      </c>
      <c r="F22" s="190">
        <v>250000</v>
      </c>
      <c r="G22" s="191" t="s">
        <v>7</v>
      </c>
      <c r="H22" s="191" t="s">
        <v>4</v>
      </c>
      <c r="I22" s="192">
        <v>1</v>
      </c>
      <c r="J22" s="191" t="s">
        <v>12</v>
      </c>
      <c r="K22" s="191" t="s">
        <v>6</v>
      </c>
      <c r="L22" s="192">
        <v>64</v>
      </c>
      <c r="M22" s="191" t="s">
        <v>9</v>
      </c>
      <c r="N22" s="193">
        <f t="shared" si="0"/>
        <v>16000000</v>
      </c>
      <c r="O22" s="420"/>
      <c r="P22" s="288"/>
    </row>
    <row r="23" spans="1:16" ht="40.049999999999997" customHeight="1">
      <c r="A23" s="370"/>
      <c r="B23" s="370"/>
      <c r="C23" s="31"/>
      <c r="D23" s="65" t="s">
        <v>247</v>
      </c>
      <c r="E23" s="70" t="s">
        <v>247</v>
      </c>
      <c r="F23" s="64">
        <v>10000</v>
      </c>
      <c r="G23" s="65" t="s">
        <v>7</v>
      </c>
      <c r="H23" s="65" t="s">
        <v>4</v>
      </c>
      <c r="I23" s="68">
        <v>1</v>
      </c>
      <c r="J23" s="65" t="s">
        <v>12</v>
      </c>
      <c r="K23" s="65" t="s">
        <v>6</v>
      </c>
      <c r="L23" s="68">
        <v>200</v>
      </c>
      <c r="M23" s="65" t="s">
        <v>9</v>
      </c>
      <c r="N23" s="180">
        <f>F23*I23*L23</f>
        <v>2000000</v>
      </c>
      <c r="O23" s="420"/>
      <c r="P23" s="288"/>
    </row>
    <row r="24" spans="1:16">
      <c r="A24" s="370"/>
      <c r="B24" s="370"/>
      <c r="C24" s="54" t="s">
        <v>182</v>
      </c>
      <c r="D24" s="60" t="s">
        <v>183</v>
      </c>
      <c r="E24" s="61" t="s">
        <v>239</v>
      </c>
      <c r="F24" s="64">
        <v>20000</v>
      </c>
      <c r="G24" s="65" t="s">
        <v>7</v>
      </c>
      <c r="H24" s="69" t="s">
        <v>6</v>
      </c>
      <c r="I24" s="68">
        <v>8</v>
      </c>
      <c r="J24" s="65" t="s">
        <v>12</v>
      </c>
      <c r="K24" s="65" t="s">
        <v>6</v>
      </c>
      <c r="L24" s="68">
        <v>160</v>
      </c>
      <c r="M24" s="65" t="s">
        <v>9</v>
      </c>
      <c r="N24" s="180">
        <f>F24*I24*L24</f>
        <v>25600000</v>
      </c>
      <c r="O24" s="420"/>
      <c r="P24" s="288"/>
    </row>
    <row r="25" spans="1:16">
      <c r="A25" s="370"/>
      <c r="B25" s="370"/>
      <c r="C25" s="31"/>
      <c r="D25" s="60"/>
      <c r="E25" s="61" t="s">
        <v>240</v>
      </c>
      <c r="F25" s="279">
        <v>20000</v>
      </c>
      <c r="G25" s="65" t="s">
        <v>7</v>
      </c>
      <c r="H25" s="69" t="s">
        <v>6</v>
      </c>
      <c r="I25" s="68">
        <v>8</v>
      </c>
      <c r="J25" s="65" t="s">
        <v>12</v>
      </c>
      <c r="K25" s="65" t="s">
        <v>6</v>
      </c>
      <c r="L25" s="68">
        <v>160</v>
      </c>
      <c r="M25" s="65" t="s">
        <v>9</v>
      </c>
      <c r="N25" s="180">
        <f t="shared" si="0"/>
        <v>25600000</v>
      </c>
      <c r="O25" s="420"/>
      <c r="P25" s="288"/>
    </row>
    <row r="26" spans="1:16" ht="28.8">
      <c r="A26" s="370"/>
      <c r="B26" s="370"/>
      <c r="C26" s="33" t="s">
        <v>173</v>
      </c>
      <c r="D26" s="60" t="s">
        <v>242</v>
      </c>
      <c r="E26" s="62" t="s">
        <v>1354</v>
      </c>
      <c r="F26" s="64">
        <v>25000</v>
      </c>
      <c r="G26" s="65" t="s">
        <v>7</v>
      </c>
      <c r="H26" s="69" t="s">
        <v>6</v>
      </c>
      <c r="I26" s="68">
        <v>40</v>
      </c>
      <c r="J26" s="65" t="s">
        <v>241</v>
      </c>
      <c r="K26" s="65" t="s">
        <v>6</v>
      </c>
      <c r="L26" s="68">
        <v>6</v>
      </c>
      <c r="M26" s="65" t="s">
        <v>9</v>
      </c>
      <c r="N26" s="180">
        <f t="shared" si="0"/>
        <v>6000000</v>
      </c>
      <c r="O26" s="420"/>
      <c r="P26" s="288"/>
    </row>
    <row r="27" spans="1:16">
      <c r="A27" s="370"/>
      <c r="B27" s="370"/>
      <c r="C27" s="33"/>
      <c r="D27" s="60" t="s">
        <v>243</v>
      </c>
      <c r="E27" s="61" t="s">
        <v>244</v>
      </c>
      <c r="F27" s="64">
        <v>10000</v>
      </c>
      <c r="G27" s="65" t="s">
        <v>7</v>
      </c>
      <c r="H27" s="69" t="s">
        <v>6</v>
      </c>
      <c r="I27" s="68">
        <v>22</v>
      </c>
      <c r="J27" s="65" t="s">
        <v>12</v>
      </c>
      <c r="K27" s="65" t="s">
        <v>6</v>
      </c>
      <c r="L27" s="68">
        <v>410</v>
      </c>
      <c r="M27" s="65" t="s">
        <v>9</v>
      </c>
      <c r="N27" s="180">
        <f t="shared" si="0"/>
        <v>90200000</v>
      </c>
      <c r="O27" s="420"/>
      <c r="P27" s="288"/>
    </row>
    <row r="28" spans="1:16">
      <c r="A28" s="370"/>
      <c r="B28" s="370"/>
      <c r="C28" s="54" t="s">
        <v>174</v>
      </c>
      <c r="D28" s="60" t="s">
        <v>245</v>
      </c>
      <c r="E28" s="61" t="s">
        <v>245</v>
      </c>
      <c r="F28" s="64">
        <v>500</v>
      </c>
      <c r="G28" s="65" t="s">
        <v>7</v>
      </c>
      <c r="H28" s="69" t="s">
        <v>6</v>
      </c>
      <c r="I28" s="68">
        <v>20</v>
      </c>
      <c r="J28" s="65" t="s">
        <v>12</v>
      </c>
      <c r="K28" s="65" t="s">
        <v>6</v>
      </c>
      <c r="L28" s="68">
        <v>193</v>
      </c>
      <c r="M28" s="65" t="s">
        <v>9</v>
      </c>
      <c r="N28" s="180">
        <f t="shared" si="0"/>
        <v>1930000</v>
      </c>
      <c r="O28" s="420"/>
      <c r="P28" s="288"/>
    </row>
    <row r="29" spans="1:16">
      <c r="A29" s="370"/>
      <c r="B29" s="370"/>
      <c r="C29" s="33"/>
      <c r="D29" s="65"/>
      <c r="E29" s="71"/>
      <c r="F29" s="64"/>
      <c r="G29" s="68"/>
      <c r="H29" s="65"/>
      <c r="I29" s="68"/>
      <c r="J29" s="68"/>
      <c r="K29" s="68"/>
      <c r="L29" s="68"/>
      <c r="M29" s="68"/>
      <c r="N29" s="180">
        <f t="shared" si="0"/>
        <v>0</v>
      </c>
      <c r="O29" s="420"/>
      <c r="P29" s="288"/>
    </row>
    <row r="30" spans="1:16">
      <c r="A30" s="370"/>
      <c r="B30" s="370"/>
      <c r="C30" s="33" t="s">
        <v>187</v>
      </c>
      <c r="D30" s="60" t="s">
        <v>246</v>
      </c>
      <c r="E30" s="61" t="s">
        <v>254</v>
      </c>
      <c r="F30" s="64">
        <v>10000</v>
      </c>
      <c r="G30" s="65" t="s">
        <v>7</v>
      </c>
      <c r="H30" s="69" t="s">
        <v>6</v>
      </c>
      <c r="I30" s="68">
        <v>32</v>
      </c>
      <c r="J30" s="65" t="s">
        <v>248</v>
      </c>
      <c r="K30" s="65" t="s">
        <v>6</v>
      </c>
      <c r="L30" s="68">
        <v>19</v>
      </c>
      <c r="M30" s="65" t="s">
        <v>9</v>
      </c>
      <c r="N30" s="180">
        <f t="shared" si="0"/>
        <v>6080000</v>
      </c>
      <c r="O30" s="420"/>
      <c r="P30" s="288"/>
    </row>
    <row r="31" spans="1:16">
      <c r="A31" s="370"/>
      <c r="B31" s="370"/>
      <c r="C31" s="31"/>
      <c r="D31" s="65"/>
      <c r="E31" s="67"/>
      <c r="F31" s="64"/>
      <c r="G31" s="65"/>
      <c r="H31" s="69"/>
      <c r="I31" s="68"/>
      <c r="J31" s="65"/>
      <c r="K31" s="65"/>
      <c r="L31" s="68"/>
      <c r="M31" s="65"/>
      <c r="N31" s="180">
        <f t="shared" si="0"/>
        <v>0</v>
      </c>
      <c r="O31" s="420"/>
      <c r="P31" s="288"/>
    </row>
    <row r="32" spans="1:16">
      <c r="A32" s="370"/>
      <c r="B32" s="370"/>
      <c r="C32" s="33" t="s">
        <v>175</v>
      </c>
      <c r="D32" s="65"/>
      <c r="E32" s="67"/>
      <c r="F32" s="64"/>
      <c r="G32" s="65"/>
      <c r="H32" s="69"/>
      <c r="I32" s="68"/>
      <c r="J32" s="65"/>
      <c r="K32" s="65"/>
      <c r="L32" s="68"/>
      <c r="M32" s="65"/>
      <c r="N32" s="66">
        <f t="shared" si="0"/>
        <v>0</v>
      </c>
      <c r="O32" s="420"/>
      <c r="P32" s="288"/>
    </row>
    <row r="33" spans="1:16">
      <c r="A33" s="370"/>
      <c r="B33" s="418" t="s">
        <v>156</v>
      </c>
      <c r="C33" s="418"/>
      <c r="D33" s="418"/>
      <c r="E33" s="418"/>
      <c r="F33" s="418"/>
      <c r="G33" s="418"/>
      <c r="H33" s="418"/>
      <c r="I33" s="418"/>
      <c r="J33" s="418"/>
      <c r="K33" s="418"/>
      <c r="L33" s="418"/>
      <c r="M33" s="418"/>
      <c r="N33" s="235">
        <f>SUM(N5:N32)</f>
        <v>809600000</v>
      </c>
      <c r="O33" s="285"/>
      <c r="P33" s="288"/>
    </row>
    <row r="34" spans="1:16">
      <c r="A34" s="370"/>
      <c r="B34" s="370" t="s">
        <v>53</v>
      </c>
      <c r="C34" s="33" t="s">
        <v>193</v>
      </c>
      <c r="D34" s="65" t="s">
        <v>195</v>
      </c>
      <c r="E34" s="67" t="s">
        <v>257</v>
      </c>
      <c r="F34" s="64">
        <v>4800000</v>
      </c>
      <c r="G34" s="65" t="s">
        <v>7</v>
      </c>
      <c r="H34" s="65" t="s">
        <v>4</v>
      </c>
      <c r="I34" s="72">
        <v>1</v>
      </c>
      <c r="J34" s="65" t="s">
        <v>21</v>
      </c>
      <c r="K34" s="65" t="s">
        <v>6</v>
      </c>
      <c r="L34" s="68">
        <v>7</v>
      </c>
      <c r="M34" s="65" t="s">
        <v>18</v>
      </c>
      <c r="N34" s="66">
        <f>F34*I34*L34</f>
        <v>33600000</v>
      </c>
      <c r="O34" s="419">
        <f>N47/N48</f>
        <v>0.14993700125997481</v>
      </c>
      <c r="P34" s="288"/>
    </row>
    <row r="35" spans="1:16">
      <c r="A35" s="370"/>
      <c r="B35" s="370"/>
      <c r="C35" s="33"/>
      <c r="D35" s="65"/>
      <c r="E35" s="67" t="s">
        <v>258</v>
      </c>
      <c r="F35" s="64">
        <v>3600000</v>
      </c>
      <c r="G35" s="65" t="s">
        <v>7</v>
      </c>
      <c r="H35" s="65" t="s">
        <v>4</v>
      </c>
      <c r="I35" s="72">
        <v>1</v>
      </c>
      <c r="J35" s="65" t="s">
        <v>21</v>
      </c>
      <c r="K35" s="65" t="s">
        <v>6</v>
      </c>
      <c r="L35" s="68">
        <v>8</v>
      </c>
      <c r="M35" s="65" t="s">
        <v>18</v>
      </c>
      <c r="N35" s="66">
        <f t="shared" ref="N35:N39" si="2">F35*I35*L35</f>
        <v>28800000</v>
      </c>
      <c r="O35" s="419"/>
      <c r="P35" s="288" t="s">
        <v>1378</v>
      </c>
    </row>
    <row r="36" spans="1:16">
      <c r="A36" s="370"/>
      <c r="B36" s="370"/>
      <c r="C36" s="33"/>
      <c r="D36" s="65"/>
      <c r="E36" s="67" t="s">
        <v>259</v>
      </c>
      <c r="F36" s="64">
        <v>2200000</v>
      </c>
      <c r="G36" s="65" t="s">
        <v>7</v>
      </c>
      <c r="H36" s="65" t="s">
        <v>4</v>
      </c>
      <c r="I36" s="72">
        <v>1</v>
      </c>
      <c r="J36" s="65" t="s">
        <v>21</v>
      </c>
      <c r="K36" s="65" t="s">
        <v>6</v>
      </c>
      <c r="L36" s="68">
        <v>8</v>
      </c>
      <c r="M36" s="65" t="s">
        <v>18</v>
      </c>
      <c r="N36" s="66">
        <f t="shared" si="2"/>
        <v>17600000</v>
      </c>
      <c r="O36" s="419"/>
      <c r="P36" s="288"/>
    </row>
    <row r="37" spans="1:16">
      <c r="A37" s="370"/>
      <c r="B37" s="370"/>
      <c r="C37" s="33"/>
      <c r="D37" s="65"/>
      <c r="E37" s="67" t="s">
        <v>260</v>
      </c>
      <c r="F37" s="64">
        <v>2200000</v>
      </c>
      <c r="G37" s="65" t="s">
        <v>7</v>
      </c>
      <c r="H37" s="65" t="s">
        <v>4</v>
      </c>
      <c r="I37" s="72">
        <v>1</v>
      </c>
      <c r="J37" s="65" t="s">
        <v>21</v>
      </c>
      <c r="K37" s="65" t="s">
        <v>6</v>
      </c>
      <c r="L37" s="68">
        <v>8</v>
      </c>
      <c r="M37" s="65" t="s">
        <v>18</v>
      </c>
      <c r="N37" s="66">
        <f t="shared" si="2"/>
        <v>17600000</v>
      </c>
      <c r="O37" s="419"/>
      <c r="P37" s="288"/>
    </row>
    <row r="38" spans="1:16">
      <c r="A38" s="370"/>
      <c r="B38" s="370"/>
      <c r="C38" s="33"/>
      <c r="D38" s="65"/>
      <c r="E38" s="67" t="s">
        <v>261</v>
      </c>
      <c r="F38" s="64">
        <v>1200000</v>
      </c>
      <c r="G38" s="65" t="s">
        <v>7</v>
      </c>
      <c r="H38" s="65" t="s">
        <v>4</v>
      </c>
      <c r="I38" s="73">
        <v>0.25</v>
      </c>
      <c r="J38" s="65" t="s">
        <v>21</v>
      </c>
      <c r="K38" s="65" t="s">
        <v>6</v>
      </c>
      <c r="L38" s="68">
        <v>8</v>
      </c>
      <c r="M38" s="65" t="s">
        <v>18</v>
      </c>
      <c r="N38" s="66">
        <f t="shared" si="2"/>
        <v>2400000</v>
      </c>
      <c r="O38" s="419"/>
      <c r="P38" s="288"/>
    </row>
    <row r="39" spans="1:16">
      <c r="A39" s="370"/>
      <c r="B39" s="370"/>
      <c r="C39" s="31"/>
      <c r="D39" s="65"/>
      <c r="E39" s="67" t="s">
        <v>261</v>
      </c>
      <c r="F39" s="64">
        <v>1200000</v>
      </c>
      <c r="G39" s="65" t="s">
        <v>7</v>
      </c>
      <c r="H39" s="65" t="s">
        <v>4</v>
      </c>
      <c r="I39" s="72">
        <v>0.5</v>
      </c>
      <c r="J39" s="65" t="s">
        <v>21</v>
      </c>
      <c r="K39" s="65" t="s">
        <v>6</v>
      </c>
      <c r="L39" s="68">
        <v>8</v>
      </c>
      <c r="M39" s="65" t="s">
        <v>18</v>
      </c>
      <c r="N39" s="193">
        <f t="shared" si="2"/>
        <v>4800000</v>
      </c>
      <c r="O39" s="419"/>
      <c r="P39" s="288"/>
    </row>
    <row r="40" spans="1:16">
      <c r="A40" s="370"/>
      <c r="B40" s="370"/>
      <c r="C40" s="31"/>
      <c r="D40" s="65" t="s">
        <v>194</v>
      </c>
      <c r="E40" s="67" t="s">
        <v>20</v>
      </c>
      <c r="F40" s="64">
        <v>800000</v>
      </c>
      <c r="G40" s="65" t="s">
        <v>7</v>
      </c>
      <c r="H40" s="65" t="s">
        <v>4</v>
      </c>
      <c r="I40" s="68">
        <v>1</v>
      </c>
      <c r="J40" s="65" t="s">
        <v>12</v>
      </c>
      <c r="K40" s="65" t="s">
        <v>6</v>
      </c>
      <c r="L40" s="68">
        <v>8</v>
      </c>
      <c r="M40" s="65" t="s">
        <v>18</v>
      </c>
      <c r="N40" s="193">
        <f>F40*I40*L40</f>
        <v>6400000</v>
      </c>
      <c r="O40" s="419"/>
      <c r="P40" s="288"/>
    </row>
    <row r="41" spans="1:16">
      <c r="A41" s="370"/>
      <c r="B41" s="370"/>
      <c r="C41" s="31"/>
      <c r="D41" s="65"/>
      <c r="E41" s="67" t="s">
        <v>20</v>
      </c>
      <c r="F41" s="64">
        <v>100000</v>
      </c>
      <c r="G41" s="65" t="s">
        <v>7</v>
      </c>
      <c r="H41" s="65" t="s">
        <v>4</v>
      </c>
      <c r="I41" s="68">
        <v>1</v>
      </c>
      <c r="J41" s="65" t="s">
        <v>12</v>
      </c>
      <c r="K41" s="65" t="s">
        <v>6</v>
      </c>
      <c r="L41" s="68">
        <v>8</v>
      </c>
      <c r="M41" s="65" t="s">
        <v>18</v>
      </c>
      <c r="N41" s="193">
        <f>F41*I41*L41</f>
        <v>800000</v>
      </c>
      <c r="O41" s="419"/>
      <c r="P41" s="288"/>
    </row>
    <row r="42" spans="1:16">
      <c r="A42" s="370"/>
      <c r="B42" s="370"/>
      <c r="C42" s="33" t="s">
        <v>173</v>
      </c>
      <c r="D42" s="65" t="s">
        <v>196</v>
      </c>
      <c r="E42" s="67" t="s">
        <v>0</v>
      </c>
      <c r="F42" s="64">
        <v>10000</v>
      </c>
      <c r="G42" s="68" t="s">
        <v>7</v>
      </c>
      <c r="H42" s="68" t="s">
        <v>6</v>
      </c>
      <c r="I42" s="68">
        <v>20</v>
      </c>
      <c r="J42" s="68" t="s">
        <v>12</v>
      </c>
      <c r="K42" s="68" t="s">
        <v>6</v>
      </c>
      <c r="L42" s="68">
        <v>80</v>
      </c>
      <c r="M42" s="68" t="s">
        <v>9</v>
      </c>
      <c r="N42" s="193">
        <f>F42*I42*L42</f>
        <v>16000000</v>
      </c>
      <c r="O42" s="419"/>
      <c r="P42" s="288"/>
    </row>
    <row r="43" spans="1:16">
      <c r="A43" s="370"/>
      <c r="B43" s="370"/>
      <c r="C43" s="33" t="s">
        <v>201</v>
      </c>
      <c r="D43" s="65" t="s">
        <v>202</v>
      </c>
      <c r="E43" s="71" t="s">
        <v>203</v>
      </c>
      <c r="F43" s="64">
        <v>10000</v>
      </c>
      <c r="G43" s="68" t="s">
        <v>7</v>
      </c>
      <c r="H43" s="68" t="s">
        <v>6</v>
      </c>
      <c r="I43" s="68">
        <v>3</v>
      </c>
      <c r="J43" s="68" t="s">
        <v>12</v>
      </c>
      <c r="K43" s="68" t="s">
        <v>6</v>
      </c>
      <c r="L43" s="68">
        <v>145</v>
      </c>
      <c r="M43" s="68" t="s">
        <v>9</v>
      </c>
      <c r="N43" s="193">
        <f>F43*I43*L43</f>
        <v>4350000</v>
      </c>
      <c r="O43" s="419"/>
      <c r="P43" s="288"/>
    </row>
    <row r="44" spans="1:16" ht="28.8">
      <c r="A44" s="370"/>
      <c r="B44" s="370"/>
      <c r="C44" s="53" t="s">
        <v>171</v>
      </c>
      <c r="D44" s="65" t="s">
        <v>197</v>
      </c>
      <c r="E44" s="71" t="s">
        <v>262</v>
      </c>
      <c r="F44" s="64">
        <v>50000</v>
      </c>
      <c r="G44" s="68" t="s">
        <v>7</v>
      </c>
      <c r="H44" s="65" t="s">
        <v>4</v>
      </c>
      <c r="I44" s="68">
        <v>10</v>
      </c>
      <c r="J44" s="68" t="s">
        <v>12</v>
      </c>
      <c r="K44" s="65" t="s">
        <v>6</v>
      </c>
      <c r="L44" s="68">
        <v>6</v>
      </c>
      <c r="M44" s="68" t="s">
        <v>9</v>
      </c>
      <c r="N44" s="193">
        <f t="shared" ref="N44:N45" si="3">F44*I44*L44</f>
        <v>3000000</v>
      </c>
      <c r="O44" s="419"/>
      <c r="P44" s="288"/>
    </row>
    <row r="45" spans="1:16">
      <c r="A45" s="370"/>
      <c r="B45" s="370"/>
      <c r="C45" s="54" t="s">
        <v>174</v>
      </c>
      <c r="D45" s="65" t="s">
        <v>108</v>
      </c>
      <c r="E45" s="71" t="s">
        <v>108</v>
      </c>
      <c r="F45" s="64">
        <v>1650000</v>
      </c>
      <c r="G45" s="68" t="s">
        <v>7</v>
      </c>
      <c r="H45" s="65" t="s">
        <v>4</v>
      </c>
      <c r="I45" s="68">
        <v>1</v>
      </c>
      <c r="J45" s="68" t="s">
        <v>22</v>
      </c>
      <c r="K45" s="65" t="s">
        <v>6</v>
      </c>
      <c r="L45" s="68">
        <v>1</v>
      </c>
      <c r="M45" s="68" t="s">
        <v>9</v>
      </c>
      <c r="N45" s="193">
        <f t="shared" si="3"/>
        <v>1650000</v>
      </c>
      <c r="O45" s="419"/>
      <c r="P45" s="288"/>
    </row>
    <row r="46" spans="1:16">
      <c r="A46" s="370"/>
      <c r="B46" s="370"/>
      <c r="C46" s="33" t="s">
        <v>198</v>
      </c>
      <c r="D46" s="65" t="s">
        <v>199</v>
      </c>
      <c r="E46" s="71" t="s">
        <v>200</v>
      </c>
      <c r="F46" s="64">
        <v>200000</v>
      </c>
      <c r="G46" s="68" t="s">
        <v>7</v>
      </c>
      <c r="H46" s="68"/>
      <c r="I46" s="68"/>
      <c r="J46" s="68"/>
      <c r="K46" s="68" t="s">
        <v>6</v>
      </c>
      <c r="L46" s="68">
        <v>29</v>
      </c>
      <c r="M46" s="68" t="s">
        <v>9</v>
      </c>
      <c r="N46" s="193">
        <f>F46*L46</f>
        <v>5800000</v>
      </c>
      <c r="O46" s="419"/>
      <c r="P46" s="288"/>
    </row>
    <row r="47" spans="1:16">
      <c r="A47" s="370"/>
      <c r="B47" s="418" t="s">
        <v>157</v>
      </c>
      <c r="C47" s="418"/>
      <c r="D47" s="418"/>
      <c r="E47" s="418"/>
      <c r="F47" s="418"/>
      <c r="G47" s="418"/>
      <c r="H47" s="418"/>
      <c r="I47" s="418"/>
      <c r="J47" s="418"/>
      <c r="K47" s="418"/>
      <c r="L47" s="418"/>
      <c r="M47" s="418"/>
      <c r="N47" s="235">
        <f>SUM(N34:N46)</f>
        <v>142800000</v>
      </c>
      <c r="O47" s="286"/>
      <c r="P47" s="288"/>
    </row>
    <row r="48" spans="1:16">
      <c r="A48" s="409" t="s">
        <v>158</v>
      </c>
      <c r="B48" s="410"/>
      <c r="C48" s="410"/>
      <c r="D48" s="410"/>
      <c r="E48" s="410"/>
      <c r="F48" s="410"/>
      <c r="G48" s="410"/>
      <c r="H48" s="410"/>
      <c r="I48" s="410"/>
      <c r="J48" s="410"/>
      <c r="K48" s="410"/>
      <c r="L48" s="410"/>
      <c r="M48" s="411"/>
      <c r="N48" s="283">
        <f>N33+N47</f>
        <v>952400000</v>
      </c>
      <c r="O48" s="284"/>
    </row>
    <row r="49" spans="1:15">
      <c r="A49" s="369" t="s">
        <v>25</v>
      </c>
      <c r="B49" s="412" t="s">
        <v>25</v>
      </c>
      <c r="C49" s="33" t="s">
        <v>29</v>
      </c>
      <c r="D49" s="65" t="s">
        <v>30</v>
      </c>
      <c r="E49" s="75" t="s">
        <v>37</v>
      </c>
      <c r="F49" s="76"/>
      <c r="G49" s="75" t="s">
        <v>7</v>
      </c>
      <c r="H49" s="68" t="s">
        <v>6</v>
      </c>
      <c r="I49" s="75">
        <v>1</v>
      </c>
      <c r="J49" s="75" t="s">
        <v>12</v>
      </c>
      <c r="K49" s="68" t="s">
        <v>6</v>
      </c>
      <c r="L49" s="75">
        <v>8</v>
      </c>
      <c r="M49" s="75" t="s">
        <v>18</v>
      </c>
      <c r="N49" s="17">
        <f>F49*I49*L49</f>
        <v>0</v>
      </c>
      <c r="O49" s="383">
        <f>N55/N48</f>
        <v>4.99790004199916E-2</v>
      </c>
    </row>
    <row r="50" spans="1:15">
      <c r="A50" s="369"/>
      <c r="B50" s="413"/>
      <c r="C50" s="20"/>
      <c r="D50" s="65"/>
      <c r="E50" s="75" t="s">
        <v>37</v>
      </c>
      <c r="F50" s="76"/>
      <c r="G50" s="75" t="s">
        <v>7</v>
      </c>
      <c r="H50" s="68" t="s">
        <v>6</v>
      </c>
      <c r="I50" s="75">
        <v>1</v>
      </c>
      <c r="J50" s="75" t="s">
        <v>12</v>
      </c>
      <c r="K50" s="68" t="s">
        <v>6</v>
      </c>
      <c r="L50" s="75">
        <v>8</v>
      </c>
      <c r="M50" s="75" t="s">
        <v>18</v>
      </c>
      <c r="N50" s="17">
        <f t="shared" ref="N50:N54" si="4">F50*I50*L50</f>
        <v>0</v>
      </c>
      <c r="O50" s="383"/>
    </row>
    <row r="51" spans="1:15">
      <c r="A51" s="369"/>
      <c r="B51" s="413"/>
      <c r="C51" s="33" t="s">
        <v>31</v>
      </c>
      <c r="D51" s="65" t="s">
        <v>263</v>
      </c>
      <c r="E51" s="75" t="s">
        <v>263</v>
      </c>
      <c r="F51" s="76">
        <v>5950000</v>
      </c>
      <c r="G51" s="75" t="s">
        <v>7</v>
      </c>
      <c r="H51" s="68" t="s">
        <v>6</v>
      </c>
      <c r="I51" s="75">
        <v>1</v>
      </c>
      <c r="J51" s="75" t="s">
        <v>22</v>
      </c>
      <c r="K51" s="68" t="s">
        <v>6</v>
      </c>
      <c r="L51" s="75">
        <v>8</v>
      </c>
      <c r="M51" s="75" t="s">
        <v>18</v>
      </c>
      <c r="N51" s="275">
        <f t="shared" si="4"/>
        <v>47600000</v>
      </c>
      <c r="O51" s="383"/>
    </row>
    <row r="52" spans="1:15">
      <c r="A52" s="369"/>
      <c r="B52" s="413"/>
      <c r="C52" s="29" t="s">
        <v>35</v>
      </c>
      <c r="D52" s="65" t="s">
        <v>32</v>
      </c>
      <c r="E52" s="75" t="s">
        <v>38</v>
      </c>
      <c r="F52" s="76"/>
      <c r="G52" s="75" t="s">
        <v>7</v>
      </c>
      <c r="H52" s="68" t="s">
        <v>6</v>
      </c>
      <c r="I52" s="75">
        <v>2</v>
      </c>
      <c r="J52" s="75" t="s">
        <v>8</v>
      </c>
      <c r="K52" s="68" t="s">
        <v>6</v>
      </c>
      <c r="L52" s="75">
        <v>2</v>
      </c>
      <c r="M52" s="75" t="s">
        <v>9</v>
      </c>
      <c r="N52" s="17">
        <f t="shared" si="4"/>
        <v>0</v>
      </c>
      <c r="O52" s="383"/>
    </row>
    <row r="53" spans="1:15">
      <c r="A53" s="369"/>
      <c r="B53" s="413"/>
      <c r="C53" s="31"/>
      <c r="D53" s="65" t="s">
        <v>33</v>
      </c>
      <c r="E53" s="75" t="s">
        <v>39</v>
      </c>
      <c r="F53" s="76"/>
      <c r="G53" s="75" t="s">
        <v>7</v>
      </c>
      <c r="H53" s="68" t="s">
        <v>6</v>
      </c>
      <c r="I53" s="75">
        <v>2</v>
      </c>
      <c r="J53" s="75" t="s">
        <v>36</v>
      </c>
      <c r="K53" s="68" t="s">
        <v>6</v>
      </c>
      <c r="L53" s="75">
        <v>2</v>
      </c>
      <c r="M53" s="75" t="s">
        <v>9</v>
      </c>
      <c r="N53" s="17">
        <f t="shared" si="4"/>
        <v>0</v>
      </c>
      <c r="O53" s="383"/>
    </row>
    <row r="54" spans="1:15">
      <c r="A54" s="369"/>
      <c r="B54" s="414"/>
      <c r="C54" s="31"/>
      <c r="D54" s="65" t="s">
        <v>34</v>
      </c>
      <c r="E54" s="75" t="s">
        <v>40</v>
      </c>
      <c r="F54" s="76"/>
      <c r="G54" s="75" t="s">
        <v>7</v>
      </c>
      <c r="H54" s="68" t="s">
        <v>6</v>
      </c>
      <c r="I54" s="75">
        <v>3</v>
      </c>
      <c r="J54" s="75" t="s">
        <v>22</v>
      </c>
      <c r="K54" s="68" t="s">
        <v>6</v>
      </c>
      <c r="L54" s="75">
        <v>4</v>
      </c>
      <c r="M54" s="75" t="s">
        <v>18</v>
      </c>
      <c r="N54" s="17">
        <f t="shared" si="4"/>
        <v>0</v>
      </c>
      <c r="O54" s="383"/>
    </row>
    <row r="55" spans="1:15">
      <c r="A55" s="369"/>
      <c r="B55" s="415" t="s">
        <v>159</v>
      </c>
      <c r="C55" s="416"/>
      <c r="D55" s="416"/>
      <c r="E55" s="416"/>
      <c r="F55" s="416"/>
      <c r="G55" s="416"/>
      <c r="H55" s="416"/>
      <c r="I55" s="416"/>
      <c r="J55" s="416"/>
      <c r="K55" s="416"/>
      <c r="L55" s="416"/>
      <c r="M55" s="417"/>
      <c r="N55" s="5">
        <f>SUM(N49:N54)</f>
        <v>47600000</v>
      </c>
      <c r="O55" s="15"/>
    </row>
    <row r="56" spans="1:15">
      <c r="A56" s="371" t="s">
        <v>207</v>
      </c>
      <c r="B56" s="372"/>
      <c r="C56" s="372"/>
      <c r="D56" s="372"/>
      <c r="E56" s="372"/>
      <c r="F56" s="372"/>
      <c r="G56" s="372"/>
      <c r="H56" s="372"/>
      <c r="I56" s="372"/>
      <c r="J56" s="372"/>
      <c r="K56" s="372"/>
      <c r="L56" s="372"/>
      <c r="M56" s="372"/>
      <c r="N56" s="46">
        <f>N48+N55</f>
        <v>1000000000</v>
      </c>
      <c r="O56" s="47"/>
    </row>
  </sheetData>
  <mergeCells count="22">
    <mergeCell ref="P3:P4"/>
    <mergeCell ref="A56:M56"/>
    <mergeCell ref="A48:M48"/>
    <mergeCell ref="A49:A55"/>
    <mergeCell ref="B49:B54"/>
    <mergeCell ref="O49:O54"/>
    <mergeCell ref="B55:M55"/>
    <mergeCell ref="A5:A47"/>
    <mergeCell ref="B5:B32"/>
    <mergeCell ref="B33:M33"/>
    <mergeCell ref="B34:B46"/>
    <mergeCell ref="O34:O46"/>
    <mergeCell ref="B47:M47"/>
    <mergeCell ref="O5:O32"/>
    <mergeCell ref="A1:O1"/>
    <mergeCell ref="A3:A4"/>
    <mergeCell ref="B3:B4"/>
    <mergeCell ref="C3:C4"/>
    <mergeCell ref="D3:D4"/>
    <mergeCell ref="E3:M3"/>
    <mergeCell ref="N3:N4"/>
    <mergeCell ref="O3:O4"/>
  </mergeCells>
  <phoneticPr fontId="2" type="noConversion"/>
  <dataValidations count="1">
    <dataValidation type="list" allowBlank="1" showErrorMessage="1" errorTitle="유효하지 않은 값입니다." error="단위는 목록에서 선택해 주세요._x000a_직접 입력은 허용되지 않습니다." sqref="J6:J9" xr:uid="{8445EBF5-D2A2-403D-BC7A-627506623DF8}">
      <formula1>"명,건,대,세트,부,실,개,회,식"</formula1>
    </dataValidation>
  </dataValidations>
  <pageMargins left="0.7" right="0.7" top="0.75" bottom="0.75" header="0.3" footer="0.3"/>
  <pageSetup paperSize="9" scale="4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C43C3-D1D9-446D-B135-CE624E71BB7C}">
  <sheetPr>
    <tabColor rgb="FFFFC000"/>
  </sheetPr>
  <dimension ref="A1:R56"/>
  <sheetViews>
    <sheetView topLeftCell="A13" zoomScale="75" zoomScaleNormal="75" workbookViewId="0">
      <selection activeCell="S20" sqref="S20"/>
    </sheetView>
  </sheetViews>
  <sheetFormatPr defaultColWidth="9" defaultRowHeight="17.399999999999999"/>
  <cols>
    <col min="1" max="1" width="7.8984375" customWidth="1"/>
    <col min="2" max="2" width="8.69921875" customWidth="1"/>
    <col min="3" max="3" width="26.09765625" customWidth="1"/>
    <col min="4" max="4" width="18.09765625" customWidth="1"/>
    <col min="5" max="5" width="24.69921875" customWidth="1"/>
    <col min="6" max="6" width="16.09765625" customWidth="1"/>
    <col min="7" max="7" width="7.59765625" customWidth="1"/>
    <col min="8" max="8" width="6.09765625" customWidth="1"/>
    <col min="9" max="9" width="7.59765625" customWidth="1"/>
    <col min="10" max="10" width="7.09765625" customWidth="1"/>
    <col min="11" max="11" width="6.59765625" customWidth="1"/>
    <col min="12" max="12" width="8.69921875" style="423" customWidth="1"/>
    <col min="14" max="14" width="17.8984375" customWidth="1"/>
    <col min="15" max="15" width="10.59765625" hidden="1" customWidth="1"/>
  </cols>
  <sheetData>
    <row r="1" spans="1:15" ht="71.25" customHeight="1">
      <c r="A1" s="401" t="s">
        <v>1356</v>
      </c>
      <c r="B1" s="402"/>
      <c r="C1" s="402"/>
      <c r="D1" s="402"/>
      <c r="E1" s="402"/>
      <c r="F1" s="402"/>
      <c r="G1" s="402"/>
      <c r="H1" s="402"/>
      <c r="I1" s="402"/>
      <c r="J1" s="402"/>
      <c r="K1" s="402"/>
      <c r="L1" s="402"/>
      <c r="M1" s="402"/>
      <c r="N1" s="402"/>
      <c r="O1" s="402"/>
    </row>
    <row r="2" spans="1:15" ht="18" thickBot="1"/>
    <row r="3" spans="1:15">
      <c r="A3" s="348" t="s">
        <v>26</v>
      </c>
      <c r="B3" s="350" t="s">
        <v>27</v>
      </c>
      <c r="C3" s="350" t="s">
        <v>28</v>
      </c>
      <c r="D3" s="350" t="s">
        <v>176</v>
      </c>
      <c r="E3" s="352" t="s">
        <v>1</v>
      </c>
      <c r="F3" s="352"/>
      <c r="G3" s="352"/>
      <c r="H3" s="352"/>
      <c r="I3" s="352"/>
      <c r="J3" s="352"/>
      <c r="K3" s="352"/>
      <c r="L3" s="352"/>
      <c r="M3" s="352"/>
      <c r="N3" s="353" t="s">
        <v>2</v>
      </c>
      <c r="O3" s="406" t="s">
        <v>3</v>
      </c>
    </row>
    <row r="4" spans="1:15">
      <c r="A4" s="403"/>
      <c r="B4" s="404"/>
      <c r="C4" s="404"/>
      <c r="D4" s="404"/>
      <c r="E4" s="282" t="s">
        <v>41</v>
      </c>
      <c r="F4" s="282" t="s">
        <v>47</v>
      </c>
      <c r="G4" s="282" t="s">
        <v>42</v>
      </c>
      <c r="H4" s="282" t="s">
        <v>6</v>
      </c>
      <c r="I4" s="282" t="s">
        <v>48</v>
      </c>
      <c r="J4" s="282" t="s">
        <v>42</v>
      </c>
      <c r="K4" s="282" t="s">
        <v>6</v>
      </c>
      <c r="L4" s="424" t="s">
        <v>49</v>
      </c>
      <c r="M4" s="282" t="s">
        <v>42</v>
      </c>
      <c r="N4" s="405"/>
      <c r="O4" s="407"/>
    </row>
    <row r="5" spans="1:15" s="188" customFormat="1" ht="35.4" customHeight="1">
      <c r="A5" s="370" t="s">
        <v>17</v>
      </c>
      <c r="B5" s="370" t="s">
        <v>52</v>
      </c>
      <c r="C5" s="29" t="s">
        <v>169</v>
      </c>
      <c r="D5" s="189" t="s">
        <v>227</v>
      </c>
      <c r="E5" s="189" t="s">
        <v>228</v>
      </c>
      <c r="F5" s="190">
        <v>40000</v>
      </c>
      <c r="G5" s="191" t="s">
        <v>7</v>
      </c>
      <c r="H5" s="191" t="s">
        <v>4</v>
      </c>
      <c r="I5" s="190">
        <v>62</v>
      </c>
      <c r="J5" s="189" t="s">
        <v>8</v>
      </c>
      <c r="K5" s="191" t="s">
        <v>4</v>
      </c>
      <c r="L5" s="425">
        <v>8</v>
      </c>
      <c r="M5" s="189" t="s">
        <v>18</v>
      </c>
      <c r="N5" s="193">
        <f t="shared" ref="N5:N32" si="0">F5*I5*L5</f>
        <v>19840000</v>
      </c>
      <c r="O5" s="420">
        <f>N33/N48</f>
        <v>0.87066596886039516</v>
      </c>
    </row>
    <row r="6" spans="1:15" s="188" customFormat="1" ht="40.049999999999997" customHeight="1">
      <c r="A6" s="370"/>
      <c r="B6" s="370"/>
      <c r="C6" s="29"/>
      <c r="D6" s="189" t="s">
        <v>227</v>
      </c>
      <c r="E6" s="267" t="s">
        <v>1362</v>
      </c>
      <c r="F6" s="268">
        <v>30000</v>
      </c>
      <c r="G6" s="191" t="s">
        <v>7</v>
      </c>
      <c r="H6" s="191" t="s">
        <v>4</v>
      </c>
      <c r="I6" s="269">
        <v>1</v>
      </c>
      <c r="J6" s="270" t="s">
        <v>1359</v>
      </c>
      <c r="K6" s="191" t="s">
        <v>6</v>
      </c>
      <c r="L6" s="426">
        <v>34</v>
      </c>
      <c r="M6" s="191" t="s">
        <v>9</v>
      </c>
      <c r="N6" s="193">
        <f t="shared" si="0"/>
        <v>1020000</v>
      </c>
      <c r="O6" s="420"/>
    </row>
    <row r="7" spans="1:15" s="188" customFormat="1" ht="40.049999999999997" customHeight="1">
      <c r="A7" s="370"/>
      <c r="B7" s="370"/>
      <c r="C7" s="29"/>
      <c r="D7" s="189" t="s">
        <v>227</v>
      </c>
      <c r="E7" s="267" t="s">
        <v>1364</v>
      </c>
      <c r="F7" s="268">
        <v>210000</v>
      </c>
      <c r="G7" s="191" t="s">
        <v>7</v>
      </c>
      <c r="H7" s="191" t="s">
        <v>4</v>
      </c>
      <c r="I7" s="269">
        <v>1</v>
      </c>
      <c r="J7" s="270" t="s">
        <v>1358</v>
      </c>
      <c r="K7" s="191" t="s">
        <v>6</v>
      </c>
      <c r="L7" s="426">
        <v>4</v>
      </c>
      <c r="M7" s="191" t="s">
        <v>9</v>
      </c>
      <c r="N7" s="193">
        <f t="shared" si="0"/>
        <v>840000</v>
      </c>
      <c r="O7" s="420"/>
    </row>
    <row r="8" spans="1:15" s="188" customFormat="1" ht="40.049999999999997" customHeight="1">
      <c r="A8" s="370"/>
      <c r="B8" s="370"/>
      <c r="C8" s="31"/>
      <c r="D8" s="189" t="s">
        <v>227</v>
      </c>
      <c r="E8" s="267" t="s">
        <v>1366</v>
      </c>
      <c r="F8" s="268">
        <v>1155000</v>
      </c>
      <c r="G8" s="191" t="s">
        <v>7</v>
      </c>
      <c r="H8" s="191" t="s">
        <v>4</v>
      </c>
      <c r="I8" s="269">
        <v>1</v>
      </c>
      <c r="J8" s="270" t="s">
        <v>1358</v>
      </c>
      <c r="K8" s="191" t="s">
        <v>6</v>
      </c>
      <c r="L8" s="426">
        <v>4</v>
      </c>
      <c r="M8" s="191" t="s">
        <v>9</v>
      </c>
      <c r="N8" s="193">
        <f t="shared" si="0"/>
        <v>4620000</v>
      </c>
      <c r="O8" s="420"/>
    </row>
    <row r="9" spans="1:15" s="188" customFormat="1" ht="40.049999999999997" customHeight="1">
      <c r="A9" s="370"/>
      <c r="B9" s="370"/>
      <c r="C9" s="31"/>
      <c r="D9" s="189" t="s">
        <v>227</v>
      </c>
      <c r="E9" s="267" t="s">
        <v>1368</v>
      </c>
      <c r="F9" s="268">
        <v>230000</v>
      </c>
      <c r="G9" s="191" t="s">
        <v>7</v>
      </c>
      <c r="H9" s="191" t="s">
        <v>4</v>
      </c>
      <c r="I9" s="269">
        <v>1</v>
      </c>
      <c r="J9" s="270" t="s">
        <v>1358</v>
      </c>
      <c r="K9" s="191" t="s">
        <v>6</v>
      </c>
      <c r="L9" s="426">
        <v>1</v>
      </c>
      <c r="M9" s="191" t="s">
        <v>9</v>
      </c>
      <c r="N9" s="193">
        <f t="shared" si="0"/>
        <v>230000</v>
      </c>
      <c r="O9" s="420"/>
    </row>
    <row r="10" spans="1:15" s="188" customFormat="1" ht="40.049999999999997" customHeight="1">
      <c r="A10" s="370"/>
      <c r="B10" s="370"/>
      <c r="C10" s="29" t="s">
        <v>170</v>
      </c>
      <c r="D10" s="194" t="s">
        <v>1360</v>
      </c>
      <c r="E10" s="61" t="s">
        <v>230</v>
      </c>
      <c r="F10" s="190">
        <v>55000</v>
      </c>
      <c r="G10" s="191" t="s">
        <v>7</v>
      </c>
      <c r="H10" s="191" t="s">
        <v>4</v>
      </c>
      <c r="I10" s="192">
        <v>186</v>
      </c>
      <c r="J10" s="191" t="s">
        <v>24</v>
      </c>
      <c r="K10" s="191" t="s">
        <v>6</v>
      </c>
      <c r="L10" s="427">
        <v>1</v>
      </c>
      <c r="M10" s="191" t="s">
        <v>9</v>
      </c>
      <c r="N10" s="193">
        <f t="shared" si="0"/>
        <v>10230000</v>
      </c>
      <c r="O10" s="420"/>
    </row>
    <row r="11" spans="1:15" s="188" customFormat="1" ht="40.049999999999997" customHeight="1">
      <c r="A11" s="370"/>
      <c r="B11" s="370"/>
      <c r="C11" s="29"/>
      <c r="D11" s="194" t="s">
        <v>1360</v>
      </c>
      <c r="E11" s="62" t="s">
        <v>250</v>
      </c>
      <c r="F11" s="190">
        <v>298000</v>
      </c>
      <c r="G11" s="191" t="s">
        <v>7</v>
      </c>
      <c r="H11" s="191" t="s">
        <v>4</v>
      </c>
      <c r="I11" s="192">
        <v>201</v>
      </c>
      <c r="J11" s="191" t="s">
        <v>24</v>
      </c>
      <c r="K11" s="191" t="s">
        <v>6</v>
      </c>
      <c r="L11" s="427">
        <v>1</v>
      </c>
      <c r="M11" s="191" t="s">
        <v>9</v>
      </c>
      <c r="N11" s="193">
        <f t="shared" si="0"/>
        <v>59898000</v>
      </c>
      <c r="O11" s="420"/>
    </row>
    <row r="12" spans="1:15" s="188" customFormat="1" ht="40.049999999999997" customHeight="1">
      <c r="A12" s="370"/>
      <c r="B12" s="370"/>
      <c r="C12" s="29"/>
      <c r="D12" s="194" t="s">
        <v>1360</v>
      </c>
      <c r="E12" s="62" t="s">
        <v>251</v>
      </c>
      <c r="F12" s="190">
        <v>77000</v>
      </c>
      <c r="G12" s="191" t="s">
        <v>7</v>
      </c>
      <c r="H12" s="191" t="s">
        <v>4</v>
      </c>
      <c r="I12" s="192">
        <v>169</v>
      </c>
      <c r="J12" s="191" t="s">
        <v>24</v>
      </c>
      <c r="K12" s="191" t="s">
        <v>6</v>
      </c>
      <c r="L12" s="427">
        <v>1</v>
      </c>
      <c r="M12" s="191" t="s">
        <v>9</v>
      </c>
      <c r="N12" s="193">
        <f t="shared" si="0"/>
        <v>13013000</v>
      </c>
      <c r="O12" s="420"/>
    </row>
    <row r="13" spans="1:15" s="188" customFormat="1" ht="40.049999999999997" customHeight="1">
      <c r="A13" s="370"/>
      <c r="B13" s="370"/>
      <c r="C13" s="29"/>
      <c r="D13" s="194" t="s">
        <v>1360</v>
      </c>
      <c r="E13" s="62" t="s">
        <v>252</v>
      </c>
      <c r="F13" s="190">
        <v>298000</v>
      </c>
      <c r="G13" s="191" t="s">
        <v>7</v>
      </c>
      <c r="H13" s="191" t="s">
        <v>4</v>
      </c>
      <c r="I13" s="192">
        <v>218</v>
      </c>
      <c r="J13" s="191" t="s">
        <v>24</v>
      </c>
      <c r="K13" s="191" t="s">
        <v>6</v>
      </c>
      <c r="L13" s="427">
        <v>1</v>
      </c>
      <c r="M13" s="191" t="s">
        <v>9</v>
      </c>
      <c r="N13" s="193">
        <f t="shared" si="0"/>
        <v>64964000</v>
      </c>
      <c r="O13" s="420"/>
    </row>
    <row r="14" spans="1:15" s="188" customFormat="1" ht="40.049999999999997" customHeight="1">
      <c r="A14" s="370"/>
      <c r="B14" s="370"/>
      <c r="C14" s="29"/>
      <c r="D14" s="194" t="s">
        <v>1360</v>
      </c>
      <c r="E14" s="62" t="s">
        <v>253</v>
      </c>
      <c r="F14" s="190">
        <v>77000</v>
      </c>
      <c r="G14" s="191" t="s">
        <v>7</v>
      </c>
      <c r="H14" s="191" t="s">
        <v>4</v>
      </c>
      <c r="I14" s="192">
        <v>175</v>
      </c>
      <c r="J14" s="191" t="s">
        <v>24</v>
      </c>
      <c r="K14" s="191" t="s">
        <v>6</v>
      </c>
      <c r="L14" s="427">
        <v>1</v>
      </c>
      <c r="M14" s="191" t="s">
        <v>9</v>
      </c>
      <c r="N14" s="193">
        <f t="shared" si="0"/>
        <v>13475000</v>
      </c>
      <c r="O14" s="420"/>
    </row>
    <row r="15" spans="1:15" s="188" customFormat="1" ht="40.049999999999997" customHeight="1">
      <c r="A15" s="370"/>
      <c r="B15" s="370"/>
      <c r="C15" s="29"/>
      <c r="D15" s="194" t="s">
        <v>1360</v>
      </c>
      <c r="E15" s="62" t="s">
        <v>255</v>
      </c>
      <c r="F15" s="190">
        <v>298000</v>
      </c>
      <c r="G15" s="191" t="s">
        <v>7</v>
      </c>
      <c r="H15" s="191" t="s">
        <v>4</v>
      </c>
      <c r="I15" s="192">
        <v>134</v>
      </c>
      <c r="J15" s="191" t="s">
        <v>24</v>
      </c>
      <c r="K15" s="191" t="s">
        <v>6</v>
      </c>
      <c r="L15" s="427">
        <v>1</v>
      </c>
      <c r="M15" s="191" t="s">
        <v>9</v>
      </c>
      <c r="N15" s="193">
        <f t="shared" si="0"/>
        <v>39932000</v>
      </c>
      <c r="O15" s="420"/>
    </row>
    <row r="16" spans="1:15" s="188" customFormat="1" ht="40.049999999999997" customHeight="1">
      <c r="A16" s="370"/>
      <c r="B16" s="370"/>
      <c r="C16" s="29"/>
      <c r="D16" s="194" t="s">
        <v>1360</v>
      </c>
      <c r="E16" s="62" t="s">
        <v>256</v>
      </c>
      <c r="F16" s="190">
        <v>298000</v>
      </c>
      <c r="G16" s="191" t="s">
        <v>7</v>
      </c>
      <c r="H16" s="191" t="s">
        <v>4</v>
      </c>
      <c r="I16" s="192">
        <v>108</v>
      </c>
      <c r="J16" s="191" t="s">
        <v>24</v>
      </c>
      <c r="K16" s="191" t="s">
        <v>6</v>
      </c>
      <c r="L16" s="427">
        <v>1</v>
      </c>
      <c r="M16" s="191" t="s">
        <v>9</v>
      </c>
      <c r="N16" s="193">
        <f t="shared" si="0"/>
        <v>32184000</v>
      </c>
      <c r="O16" s="420"/>
    </row>
    <row r="17" spans="1:16" s="188" customFormat="1" ht="40.049999999999997" customHeight="1">
      <c r="A17" s="370"/>
      <c r="B17" s="370"/>
      <c r="C17" s="33"/>
      <c r="D17" s="191" t="s">
        <v>232</v>
      </c>
      <c r="E17" s="61" t="s">
        <v>231</v>
      </c>
      <c r="F17" s="190">
        <v>5751</v>
      </c>
      <c r="G17" s="191" t="s">
        <v>7</v>
      </c>
      <c r="H17" s="191" t="s">
        <v>4</v>
      </c>
      <c r="I17" s="192">
        <v>20</v>
      </c>
      <c r="J17" s="191" t="s">
        <v>24</v>
      </c>
      <c r="K17" s="191" t="s">
        <v>6</v>
      </c>
      <c r="L17" s="427">
        <v>200</v>
      </c>
      <c r="M17" s="191" t="s">
        <v>9</v>
      </c>
      <c r="N17" s="193">
        <f t="shared" si="0"/>
        <v>23004000</v>
      </c>
      <c r="O17" s="420"/>
    </row>
    <row r="18" spans="1:16" s="188" customFormat="1" ht="40.049999999999997" customHeight="1">
      <c r="A18" s="370"/>
      <c r="B18" s="370"/>
      <c r="C18" s="280" t="s">
        <v>171</v>
      </c>
      <c r="D18" s="277"/>
      <c r="E18" s="281"/>
      <c r="F18" s="276"/>
      <c r="G18" s="277" t="s">
        <v>7</v>
      </c>
      <c r="H18" s="277" t="s">
        <v>4</v>
      </c>
      <c r="I18" s="276"/>
      <c r="J18" s="277" t="s">
        <v>150</v>
      </c>
      <c r="K18" s="277" t="s">
        <v>6</v>
      </c>
      <c r="L18" s="428"/>
      <c r="M18" s="277" t="s">
        <v>9</v>
      </c>
      <c r="N18" s="278">
        <f t="shared" si="0"/>
        <v>0</v>
      </c>
      <c r="O18" s="420"/>
    </row>
    <row r="19" spans="1:16" s="188" customFormat="1" ht="40.049999999999997" customHeight="1">
      <c r="A19" s="370"/>
      <c r="B19" s="370"/>
      <c r="C19" s="54" t="s">
        <v>172</v>
      </c>
      <c r="D19" s="434" t="s">
        <v>14</v>
      </c>
      <c r="E19" s="435" t="s">
        <v>233</v>
      </c>
      <c r="F19" s="421">
        <v>75000</v>
      </c>
      <c r="G19" s="434" t="s">
        <v>7</v>
      </c>
      <c r="H19" s="434" t="s">
        <v>4</v>
      </c>
      <c r="I19" s="421">
        <v>8</v>
      </c>
      <c r="J19" s="434" t="s">
        <v>241</v>
      </c>
      <c r="K19" s="434" t="s">
        <v>6</v>
      </c>
      <c r="L19" s="436">
        <v>253</v>
      </c>
      <c r="M19" s="434" t="s">
        <v>9</v>
      </c>
      <c r="N19" s="437">
        <f>F19*I19*L19</f>
        <v>151800000</v>
      </c>
      <c r="O19" s="420"/>
    </row>
    <row r="20" spans="1:16" s="188" customFormat="1" ht="40.049999999999997" customHeight="1">
      <c r="A20" s="370"/>
      <c r="B20" s="370"/>
      <c r="C20" s="31"/>
      <c r="D20" s="434" t="s">
        <v>14</v>
      </c>
      <c r="E20" s="435" t="s">
        <v>234</v>
      </c>
      <c r="F20" s="421">
        <v>45000</v>
      </c>
      <c r="G20" s="434" t="s">
        <v>7</v>
      </c>
      <c r="H20" s="438" t="s">
        <v>6</v>
      </c>
      <c r="I20" s="421">
        <v>8</v>
      </c>
      <c r="J20" s="434" t="s">
        <v>12</v>
      </c>
      <c r="K20" s="434" t="s">
        <v>6</v>
      </c>
      <c r="L20" s="436">
        <v>253</v>
      </c>
      <c r="M20" s="434" t="s">
        <v>9</v>
      </c>
      <c r="N20" s="437">
        <f>F20*I20*L20</f>
        <v>91080000</v>
      </c>
      <c r="O20" s="420"/>
    </row>
    <row r="21" spans="1:16" ht="40.049999999999997" customHeight="1">
      <c r="A21" s="370"/>
      <c r="B21" s="370"/>
      <c r="C21" s="31"/>
      <c r="D21" s="191" t="s">
        <v>235</v>
      </c>
      <c r="E21" s="61" t="s">
        <v>236</v>
      </c>
      <c r="F21" s="195">
        <v>100000</v>
      </c>
      <c r="G21" s="196" t="s">
        <v>7</v>
      </c>
      <c r="H21" s="197" t="s">
        <v>6</v>
      </c>
      <c r="I21" s="195">
        <v>1</v>
      </c>
      <c r="J21" s="196" t="s">
        <v>12</v>
      </c>
      <c r="K21" s="196" t="s">
        <v>6</v>
      </c>
      <c r="L21" s="275">
        <v>0</v>
      </c>
      <c r="M21" s="196" t="s">
        <v>9</v>
      </c>
      <c r="N21" s="193">
        <f>F21*I21*L21</f>
        <v>0</v>
      </c>
      <c r="O21" s="420"/>
      <c r="P21" s="3" t="s">
        <v>1379</v>
      </c>
    </row>
    <row r="22" spans="1:16" ht="40.049999999999997" customHeight="1">
      <c r="A22" s="370"/>
      <c r="B22" s="370"/>
      <c r="C22" s="31"/>
      <c r="D22" s="191" t="s">
        <v>237</v>
      </c>
      <c r="E22" s="62" t="s">
        <v>238</v>
      </c>
      <c r="F22" s="190">
        <v>250000</v>
      </c>
      <c r="G22" s="191" t="s">
        <v>7</v>
      </c>
      <c r="H22" s="191" t="s">
        <v>4</v>
      </c>
      <c r="I22" s="192">
        <v>1</v>
      </c>
      <c r="J22" s="191" t="s">
        <v>12</v>
      </c>
      <c r="K22" s="191" t="s">
        <v>6</v>
      </c>
      <c r="L22" s="427">
        <v>0</v>
      </c>
      <c r="M22" s="191" t="s">
        <v>9</v>
      </c>
      <c r="N22" s="193">
        <f t="shared" si="0"/>
        <v>0</v>
      </c>
      <c r="O22" s="420"/>
      <c r="P22" s="3" t="s">
        <v>1379</v>
      </c>
    </row>
    <row r="23" spans="1:16" ht="40.049999999999997" customHeight="1">
      <c r="A23" s="370"/>
      <c r="B23" s="370"/>
      <c r="C23" s="31"/>
      <c r="D23" s="431" t="s">
        <v>247</v>
      </c>
      <c r="E23" s="432" t="s">
        <v>247</v>
      </c>
      <c r="F23" s="422">
        <v>10000</v>
      </c>
      <c r="G23" s="431" t="s">
        <v>7</v>
      </c>
      <c r="H23" s="431" t="s">
        <v>4</v>
      </c>
      <c r="I23" s="422">
        <v>1</v>
      </c>
      <c r="J23" s="431" t="s">
        <v>12</v>
      </c>
      <c r="K23" s="431" t="s">
        <v>6</v>
      </c>
      <c r="L23" s="429">
        <v>179</v>
      </c>
      <c r="M23" s="431" t="s">
        <v>9</v>
      </c>
      <c r="N23" s="433">
        <f>F23*I23*L23</f>
        <v>1790000</v>
      </c>
      <c r="O23" s="420"/>
    </row>
    <row r="24" spans="1:16">
      <c r="A24" s="370"/>
      <c r="B24" s="370"/>
      <c r="C24" s="54" t="s">
        <v>182</v>
      </c>
      <c r="D24" s="60" t="s">
        <v>183</v>
      </c>
      <c r="E24" s="61" t="s">
        <v>239</v>
      </c>
      <c r="F24" s="64">
        <v>20000</v>
      </c>
      <c r="G24" s="65" t="s">
        <v>7</v>
      </c>
      <c r="H24" s="69" t="s">
        <v>6</v>
      </c>
      <c r="I24" s="68">
        <v>8</v>
      </c>
      <c r="J24" s="65" t="s">
        <v>12</v>
      </c>
      <c r="K24" s="65" t="s">
        <v>6</v>
      </c>
      <c r="L24" s="187">
        <v>160</v>
      </c>
      <c r="M24" s="65" t="s">
        <v>9</v>
      </c>
      <c r="N24" s="180">
        <f>F24*I24*L24</f>
        <v>25600000</v>
      </c>
      <c r="O24" s="420"/>
    </row>
    <row r="25" spans="1:16">
      <c r="A25" s="370"/>
      <c r="B25" s="370"/>
      <c r="C25" s="31"/>
      <c r="D25" s="60"/>
      <c r="E25" s="61" t="s">
        <v>240</v>
      </c>
      <c r="F25" s="279">
        <v>20000</v>
      </c>
      <c r="G25" s="65" t="s">
        <v>7</v>
      </c>
      <c r="H25" s="69" t="s">
        <v>6</v>
      </c>
      <c r="I25" s="68">
        <v>8</v>
      </c>
      <c r="J25" s="65" t="s">
        <v>12</v>
      </c>
      <c r="K25" s="65" t="s">
        <v>6</v>
      </c>
      <c r="L25" s="187">
        <v>160</v>
      </c>
      <c r="M25" s="65" t="s">
        <v>9</v>
      </c>
      <c r="N25" s="180">
        <f t="shared" si="0"/>
        <v>25600000</v>
      </c>
      <c r="O25" s="420"/>
    </row>
    <row r="26" spans="1:16" ht="28.8">
      <c r="A26" s="370"/>
      <c r="B26" s="370"/>
      <c r="C26" s="33" t="s">
        <v>173</v>
      </c>
      <c r="D26" s="444" t="s">
        <v>242</v>
      </c>
      <c r="E26" s="445" t="s">
        <v>1354</v>
      </c>
      <c r="F26" s="279">
        <v>25000</v>
      </c>
      <c r="G26" s="446" t="s">
        <v>7</v>
      </c>
      <c r="H26" s="447" t="s">
        <v>6</v>
      </c>
      <c r="I26" s="279">
        <v>40</v>
      </c>
      <c r="J26" s="446" t="s">
        <v>241</v>
      </c>
      <c r="K26" s="446" t="s">
        <v>6</v>
      </c>
      <c r="L26" s="448">
        <v>6</v>
      </c>
      <c r="M26" s="446" t="s">
        <v>9</v>
      </c>
      <c r="N26" s="180">
        <f t="shared" si="0"/>
        <v>6000000</v>
      </c>
      <c r="O26" s="420"/>
    </row>
    <row r="27" spans="1:16">
      <c r="A27" s="370"/>
      <c r="B27" s="370"/>
      <c r="C27" s="33"/>
      <c r="D27" s="439" t="s">
        <v>243</v>
      </c>
      <c r="E27" s="435" t="s">
        <v>244</v>
      </c>
      <c r="F27" s="422">
        <v>10000</v>
      </c>
      <c r="G27" s="431" t="s">
        <v>7</v>
      </c>
      <c r="H27" s="440" t="s">
        <v>6</v>
      </c>
      <c r="I27" s="422">
        <v>22</v>
      </c>
      <c r="J27" s="431" t="s">
        <v>12</v>
      </c>
      <c r="K27" s="431" t="s">
        <v>6</v>
      </c>
      <c r="L27" s="429">
        <v>331</v>
      </c>
      <c r="M27" s="431" t="s">
        <v>9</v>
      </c>
      <c r="N27" s="433">
        <f t="shared" si="0"/>
        <v>72820000</v>
      </c>
      <c r="O27" s="420"/>
    </row>
    <row r="28" spans="1:16" ht="31.2" customHeight="1">
      <c r="A28" s="370"/>
      <c r="B28" s="370"/>
      <c r="C28" s="54" t="s">
        <v>174</v>
      </c>
      <c r="D28" s="60" t="s">
        <v>245</v>
      </c>
      <c r="E28" s="61" t="s">
        <v>245</v>
      </c>
      <c r="F28" s="64">
        <v>500</v>
      </c>
      <c r="G28" s="65" t="s">
        <v>7</v>
      </c>
      <c r="H28" s="69" t="s">
        <v>6</v>
      </c>
      <c r="I28" s="68">
        <v>20</v>
      </c>
      <c r="J28" s="65" t="s">
        <v>12</v>
      </c>
      <c r="K28" s="65" t="s">
        <v>6</v>
      </c>
      <c r="L28" s="187">
        <v>143</v>
      </c>
      <c r="M28" s="65" t="s">
        <v>9</v>
      </c>
      <c r="N28" s="180">
        <f t="shared" si="0"/>
        <v>1430000</v>
      </c>
      <c r="O28" s="420"/>
    </row>
    <row r="29" spans="1:16">
      <c r="A29" s="370"/>
      <c r="B29" s="370"/>
      <c r="C29" s="33"/>
      <c r="D29" s="65"/>
      <c r="E29" s="71"/>
      <c r="F29" s="64"/>
      <c r="G29" s="68"/>
      <c r="H29" s="65"/>
      <c r="I29" s="68"/>
      <c r="J29" s="68"/>
      <c r="K29" s="68"/>
      <c r="L29" s="187"/>
      <c r="M29" s="68"/>
      <c r="N29" s="180">
        <f t="shared" si="0"/>
        <v>0</v>
      </c>
      <c r="O29" s="420"/>
    </row>
    <row r="30" spans="1:16">
      <c r="A30" s="370"/>
      <c r="B30" s="370"/>
      <c r="C30" s="33" t="s">
        <v>187</v>
      </c>
      <c r="D30" s="60" t="s">
        <v>246</v>
      </c>
      <c r="E30" s="61" t="s">
        <v>254</v>
      </c>
      <c r="F30" s="64">
        <v>10000</v>
      </c>
      <c r="G30" s="65" t="s">
        <v>7</v>
      </c>
      <c r="H30" s="69" t="s">
        <v>6</v>
      </c>
      <c r="I30" s="68">
        <v>32</v>
      </c>
      <c r="J30" s="65" t="s">
        <v>248</v>
      </c>
      <c r="K30" s="65" t="s">
        <v>6</v>
      </c>
      <c r="L30" s="187">
        <v>19</v>
      </c>
      <c r="M30" s="65" t="s">
        <v>9</v>
      </c>
      <c r="N30" s="180">
        <f t="shared" si="0"/>
        <v>6080000</v>
      </c>
      <c r="O30" s="420"/>
    </row>
    <row r="31" spans="1:16">
      <c r="A31" s="370"/>
      <c r="B31" s="370"/>
      <c r="C31" s="31"/>
      <c r="D31" s="65"/>
      <c r="E31" s="67"/>
      <c r="F31" s="64"/>
      <c r="G31" s="65"/>
      <c r="H31" s="69"/>
      <c r="I31" s="68"/>
      <c r="J31" s="65"/>
      <c r="K31" s="65"/>
      <c r="L31" s="187"/>
      <c r="M31" s="65"/>
      <c r="N31" s="180">
        <f t="shared" si="0"/>
        <v>0</v>
      </c>
      <c r="O31" s="420"/>
    </row>
    <row r="32" spans="1:16">
      <c r="A32" s="370"/>
      <c r="B32" s="370"/>
      <c r="C32" s="33" t="s">
        <v>175</v>
      </c>
      <c r="D32" s="65"/>
      <c r="E32" s="67"/>
      <c r="F32" s="64"/>
      <c r="G32" s="65"/>
      <c r="H32" s="69"/>
      <c r="I32" s="68"/>
      <c r="J32" s="65"/>
      <c r="K32" s="65"/>
      <c r="L32" s="187"/>
      <c r="M32" s="65"/>
      <c r="N32" s="66">
        <f t="shared" si="0"/>
        <v>0</v>
      </c>
      <c r="O32" s="420"/>
    </row>
    <row r="33" spans="1:18">
      <c r="A33" s="370"/>
      <c r="B33" s="418" t="s">
        <v>156</v>
      </c>
      <c r="C33" s="418"/>
      <c r="D33" s="418"/>
      <c r="E33" s="418"/>
      <c r="F33" s="418"/>
      <c r="G33" s="418"/>
      <c r="H33" s="418"/>
      <c r="I33" s="418"/>
      <c r="J33" s="418"/>
      <c r="K33" s="418"/>
      <c r="L33" s="418"/>
      <c r="M33" s="418"/>
      <c r="N33" s="235">
        <f>SUM(N5:N32)</f>
        <v>665450000</v>
      </c>
      <c r="O33" s="285"/>
    </row>
    <row r="34" spans="1:18">
      <c r="A34" s="370"/>
      <c r="B34" s="370" t="s">
        <v>53</v>
      </c>
      <c r="C34" s="33" t="s">
        <v>193</v>
      </c>
      <c r="D34" s="431" t="s">
        <v>195</v>
      </c>
      <c r="E34" s="441" t="s">
        <v>257</v>
      </c>
      <c r="F34" s="422">
        <v>4800000</v>
      </c>
      <c r="G34" s="431" t="s">
        <v>7</v>
      </c>
      <c r="H34" s="431" t="s">
        <v>4</v>
      </c>
      <c r="I34" s="442">
        <v>1</v>
      </c>
      <c r="J34" s="431" t="s">
        <v>21</v>
      </c>
      <c r="K34" s="431" t="s">
        <v>6</v>
      </c>
      <c r="L34" s="429">
        <v>5</v>
      </c>
      <c r="M34" s="431" t="s">
        <v>18</v>
      </c>
      <c r="N34" s="433">
        <f>F34*I34*L34</f>
        <v>24000000</v>
      </c>
      <c r="O34" s="419">
        <f>N47/N48</f>
        <v>0.12933403113960487</v>
      </c>
    </row>
    <row r="35" spans="1:18">
      <c r="A35" s="370"/>
      <c r="B35" s="370"/>
      <c r="C35" s="33"/>
      <c r="D35" s="431"/>
      <c r="E35" s="441" t="s">
        <v>258</v>
      </c>
      <c r="F35" s="422">
        <v>3600000</v>
      </c>
      <c r="G35" s="431" t="s">
        <v>7</v>
      </c>
      <c r="H35" s="431" t="s">
        <v>4</v>
      </c>
      <c r="I35" s="442">
        <v>1</v>
      </c>
      <c r="J35" s="431" t="s">
        <v>21</v>
      </c>
      <c r="K35" s="431" t="s">
        <v>6</v>
      </c>
      <c r="L35" s="429">
        <v>6</v>
      </c>
      <c r="M35" s="431" t="s">
        <v>18</v>
      </c>
      <c r="N35" s="433">
        <f t="shared" ref="N35:N39" si="1">F35*I35*L35</f>
        <v>21600000</v>
      </c>
      <c r="O35" s="419"/>
    </row>
    <row r="36" spans="1:18">
      <c r="A36" s="370"/>
      <c r="B36" s="370"/>
      <c r="C36" s="33"/>
      <c r="D36" s="431"/>
      <c r="E36" s="441" t="s">
        <v>259</v>
      </c>
      <c r="F36" s="422">
        <v>2200000</v>
      </c>
      <c r="G36" s="431" t="s">
        <v>7</v>
      </c>
      <c r="H36" s="431" t="s">
        <v>4</v>
      </c>
      <c r="I36" s="442">
        <v>1</v>
      </c>
      <c r="J36" s="431" t="s">
        <v>21</v>
      </c>
      <c r="K36" s="431" t="s">
        <v>6</v>
      </c>
      <c r="L36" s="429">
        <v>6</v>
      </c>
      <c r="M36" s="431" t="s">
        <v>18</v>
      </c>
      <c r="N36" s="433">
        <f t="shared" si="1"/>
        <v>13200000</v>
      </c>
      <c r="O36" s="419"/>
    </row>
    <row r="37" spans="1:18">
      <c r="A37" s="370"/>
      <c r="B37" s="370"/>
      <c r="C37" s="33"/>
      <c r="D37" s="431"/>
      <c r="E37" s="441" t="s">
        <v>260</v>
      </c>
      <c r="F37" s="422">
        <v>2200000</v>
      </c>
      <c r="G37" s="431" t="s">
        <v>7</v>
      </c>
      <c r="H37" s="431" t="s">
        <v>4</v>
      </c>
      <c r="I37" s="442">
        <v>1</v>
      </c>
      <c r="J37" s="431" t="s">
        <v>21</v>
      </c>
      <c r="K37" s="431" t="s">
        <v>6</v>
      </c>
      <c r="L37" s="429">
        <v>6</v>
      </c>
      <c r="M37" s="431" t="s">
        <v>18</v>
      </c>
      <c r="N37" s="433">
        <f t="shared" si="1"/>
        <v>13200000</v>
      </c>
      <c r="O37" s="419"/>
    </row>
    <row r="38" spans="1:18">
      <c r="A38" s="370"/>
      <c r="B38" s="370"/>
      <c r="C38" s="33"/>
      <c r="D38" s="431"/>
      <c r="E38" s="441" t="s">
        <v>261</v>
      </c>
      <c r="F38" s="422">
        <v>1200000</v>
      </c>
      <c r="G38" s="431" t="s">
        <v>7</v>
      </c>
      <c r="H38" s="431" t="s">
        <v>4</v>
      </c>
      <c r="I38" s="443">
        <v>0.25</v>
      </c>
      <c r="J38" s="431" t="s">
        <v>21</v>
      </c>
      <c r="K38" s="431" t="s">
        <v>6</v>
      </c>
      <c r="L38" s="429">
        <v>6</v>
      </c>
      <c r="M38" s="431" t="s">
        <v>18</v>
      </c>
      <c r="N38" s="433">
        <f t="shared" si="1"/>
        <v>1800000</v>
      </c>
      <c r="O38" s="419"/>
    </row>
    <row r="39" spans="1:18">
      <c r="A39" s="370"/>
      <c r="B39" s="370"/>
      <c r="C39" s="31"/>
      <c r="D39" s="431"/>
      <c r="E39" s="441" t="s">
        <v>261</v>
      </c>
      <c r="F39" s="422">
        <v>1200000</v>
      </c>
      <c r="G39" s="431" t="s">
        <v>7</v>
      </c>
      <c r="H39" s="431" t="s">
        <v>4</v>
      </c>
      <c r="I39" s="442">
        <v>0.5</v>
      </c>
      <c r="J39" s="431" t="s">
        <v>21</v>
      </c>
      <c r="K39" s="431" t="s">
        <v>6</v>
      </c>
      <c r="L39" s="429">
        <v>6</v>
      </c>
      <c r="M39" s="431" t="s">
        <v>18</v>
      </c>
      <c r="N39" s="437">
        <f t="shared" si="1"/>
        <v>3600000</v>
      </c>
      <c r="O39" s="419"/>
    </row>
    <row r="40" spans="1:18">
      <c r="A40" s="370"/>
      <c r="B40" s="370"/>
      <c r="C40" s="31"/>
      <c r="D40" s="65" t="s">
        <v>194</v>
      </c>
      <c r="E40" s="67" t="s">
        <v>20</v>
      </c>
      <c r="F40" s="64">
        <v>800000</v>
      </c>
      <c r="G40" s="65" t="s">
        <v>7</v>
      </c>
      <c r="H40" s="65" t="s">
        <v>4</v>
      </c>
      <c r="I40" s="68">
        <v>1</v>
      </c>
      <c r="J40" s="65" t="s">
        <v>12</v>
      </c>
      <c r="K40" s="65" t="s">
        <v>6</v>
      </c>
      <c r="L40" s="187">
        <v>0</v>
      </c>
      <c r="M40" s="65" t="s">
        <v>18</v>
      </c>
      <c r="N40" s="193">
        <f>F40*I40*L40</f>
        <v>0</v>
      </c>
      <c r="O40" s="419"/>
      <c r="P40" s="3" t="s">
        <v>1379</v>
      </c>
    </row>
    <row r="41" spans="1:18">
      <c r="A41" s="370"/>
      <c r="B41" s="370"/>
      <c r="C41" s="31"/>
      <c r="D41" s="65"/>
      <c r="E41" s="67" t="s">
        <v>20</v>
      </c>
      <c r="F41" s="64">
        <v>100000</v>
      </c>
      <c r="G41" s="65" t="s">
        <v>7</v>
      </c>
      <c r="H41" s="65" t="s">
        <v>4</v>
      </c>
      <c r="I41" s="68">
        <v>1</v>
      </c>
      <c r="J41" s="65" t="s">
        <v>12</v>
      </c>
      <c r="K41" s="65" t="s">
        <v>6</v>
      </c>
      <c r="L41" s="187">
        <v>0</v>
      </c>
      <c r="M41" s="65" t="s">
        <v>18</v>
      </c>
      <c r="N41" s="193">
        <f>F41*I41*L41</f>
        <v>0</v>
      </c>
      <c r="O41" s="419"/>
      <c r="P41" s="3" t="s">
        <v>1379</v>
      </c>
      <c r="Q41" s="450"/>
      <c r="R41" s="450"/>
    </row>
    <row r="42" spans="1:18">
      <c r="A42" s="370"/>
      <c r="B42" s="370"/>
      <c r="C42" s="33" t="s">
        <v>173</v>
      </c>
      <c r="D42" s="431" t="s">
        <v>196</v>
      </c>
      <c r="E42" s="441" t="s">
        <v>0</v>
      </c>
      <c r="F42" s="422">
        <v>10000</v>
      </c>
      <c r="G42" s="422" t="s">
        <v>7</v>
      </c>
      <c r="H42" s="422" t="s">
        <v>6</v>
      </c>
      <c r="I42" s="422">
        <v>20</v>
      </c>
      <c r="J42" s="422" t="s">
        <v>12</v>
      </c>
      <c r="K42" s="422" t="s">
        <v>6</v>
      </c>
      <c r="L42" s="429">
        <v>37</v>
      </c>
      <c r="M42" s="422" t="s">
        <v>9</v>
      </c>
      <c r="N42" s="437">
        <f>F42*I42*L42</f>
        <v>7400000</v>
      </c>
      <c r="O42" s="419"/>
    </row>
    <row r="43" spans="1:18">
      <c r="A43" s="370"/>
      <c r="B43" s="370"/>
      <c r="C43" s="33" t="s">
        <v>201</v>
      </c>
      <c r="D43" s="431" t="s">
        <v>202</v>
      </c>
      <c r="E43" s="449" t="s">
        <v>203</v>
      </c>
      <c r="F43" s="422">
        <v>10000</v>
      </c>
      <c r="G43" s="422" t="s">
        <v>7</v>
      </c>
      <c r="H43" s="422" t="s">
        <v>6</v>
      </c>
      <c r="I43" s="422">
        <v>3</v>
      </c>
      <c r="J43" s="422" t="s">
        <v>12</v>
      </c>
      <c r="K43" s="422" t="s">
        <v>6</v>
      </c>
      <c r="L43" s="429">
        <v>120</v>
      </c>
      <c r="M43" s="422" t="s">
        <v>9</v>
      </c>
      <c r="N43" s="437">
        <f>F43*I43*L43</f>
        <v>3600000</v>
      </c>
      <c r="O43" s="419"/>
    </row>
    <row r="44" spans="1:18" ht="28.8">
      <c r="A44" s="370"/>
      <c r="B44" s="370"/>
      <c r="C44" s="53" t="s">
        <v>171</v>
      </c>
      <c r="D44" s="65" t="s">
        <v>197</v>
      </c>
      <c r="E44" s="71" t="s">
        <v>262</v>
      </c>
      <c r="F44" s="64">
        <v>50000</v>
      </c>
      <c r="G44" s="68" t="s">
        <v>7</v>
      </c>
      <c r="H44" s="65" t="s">
        <v>4</v>
      </c>
      <c r="I44" s="68">
        <v>10</v>
      </c>
      <c r="J44" s="68" t="s">
        <v>12</v>
      </c>
      <c r="K44" s="65" t="s">
        <v>6</v>
      </c>
      <c r="L44" s="187">
        <v>6</v>
      </c>
      <c r="M44" s="68" t="s">
        <v>9</v>
      </c>
      <c r="N44" s="193">
        <f t="shared" ref="N44:N45" si="2">F44*I44*L44</f>
        <v>3000000</v>
      </c>
      <c r="O44" s="419"/>
    </row>
    <row r="45" spans="1:18">
      <c r="A45" s="370"/>
      <c r="B45" s="370"/>
      <c r="C45" s="54" t="s">
        <v>174</v>
      </c>
      <c r="D45" s="65" t="s">
        <v>108</v>
      </c>
      <c r="E45" s="71" t="s">
        <v>108</v>
      </c>
      <c r="F45" s="64">
        <v>1650000</v>
      </c>
      <c r="G45" s="68" t="s">
        <v>7</v>
      </c>
      <c r="H45" s="65" t="s">
        <v>4</v>
      </c>
      <c r="I45" s="68">
        <v>1</v>
      </c>
      <c r="J45" s="68" t="s">
        <v>22</v>
      </c>
      <c r="K45" s="65" t="s">
        <v>6</v>
      </c>
      <c r="L45" s="187">
        <v>1</v>
      </c>
      <c r="M45" s="68" t="s">
        <v>9</v>
      </c>
      <c r="N45" s="193">
        <f t="shared" si="2"/>
        <v>1650000</v>
      </c>
      <c r="O45" s="419"/>
    </row>
    <row r="46" spans="1:18">
      <c r="A46" s="370"/>
      <c r="B46" s="370"/>
      <c r="C46" s="33" t="s">
        <v>198</v>
      </c>
      <c r="D46" s="65" t="s">
        <v>199</v>
      </c>
      <c r="E46" s="71" t="s">
        <v>200</v>
      </c>
      <c r="F46" s="64">
        <v>200000</v>
      </c>
      <c r="G46" s="68" t="s">
        <v>7</v>
      </c>
      <c r="H46" s="68"/>
      <c r="I46" s="68"/>
      <c r="J46" s="68"/>
      <c r="K46" s="68" t="s">
        <v>6</v>
      </c>
      <c r="L46" s="187">
        <v>29</v>
      </c>
      <c r="M46" s="68" t="s">
        <v>9</v>
      </c>
      <c r="N46" s="193">
        <f>F46*L46</f>
        <v>5800000</v>
      </c>
      <c r="O46" s="419"/>
    </row>
    <row r="47" spans="1:18">
      <c r="A47" s="370"/>
      <c r="B47" s="418" t="s">
        <v>157</v>
      </c>
      <c r="C47" s="418"/>
      <c r="D47" s="418"/>
      <c r="E47" s="418"/>
      <c r="F47" s="418"/>
      <c r="G47" s="418"/>
      <c r="H47" s="418"/>
      <c r="I47" s="418"/>
      <c r="J47" s="418"/>
      <c r="K47" s="418"/>
      <c r="L47" s="418"/>
      <c r="M47" s="418"/>
      <c r="N47" s="235">
        <f>SUM(N34:N46)</f>
        <v>98850000</v>
      </c>
      <c r="O47" s="286"/>
    </row>
    <row r="48" spans="1:18">
      <c r="A48" s="409" t="s">
        <v>158</v>
      </c>
      <c r="B48" s="410"/>
      <c r="C48" s="410"/>
      <c r="D48" s="410"/>
      <c r="E48" s="410"/>
      <c r="F48" s="410"/>
      <c r="G48" s="410"/>
      <c r="H48" s="410"/>
      <c r="I48" s="410"/>
      <c r="J48" s="410"/>
      <c r="K48" s="410"/>
      <c r="L48" s="410"/>
      <c r="M48" s="411"/>
      <c r="N48" s="283">
        <f>N33+N47</f>
        <v>764300000</v>
      </c>
      <c r="O48" s="284"/>
    </row>
    <row r="49" spans="1:15">
      <c r="A49" s="369" t="s">
        <v>25</v>
      </c>
      <c r="B49" s="412" t="s">
        <v>25</v>
      </c>
      <c r="C49" s="33" t="s">
        <v>29</v>
      </c>
      <c r="D49" s="65" t="s">
        <v>30</v>
      </c>
      <c r="E49" s="75" t="s">
        <v>37</v>
      </c>
      <c r="F49" s="76"/>
      <c r="G49" s="75" t="s">
        <v>7</v>
      </c>
      <c r="H49" s="68" t="s">
        <v>6</v>
      </c>
      <c r="I49" s="75">
        <v>1</v>
      </c>
      <c r="J49" s="75" t="s">
        <v>12</v>
      </c>
      <c r="K49" s="68" t="s">
        <v>6</v>
      </c>
      <c r="L49" s="430">
        <v>8</v>
      </c>
      <c r="M49" s="75" t="s">
        <v>18</v>
      </c>
      <c r="N49" s="17">
        <f>F49*I49*L49</f>
        <v>0</v>
      </c>
      <c r="O49" s="383">
        <f>N55/N48</f>
        <v>4.6709407300798117E-2</v>
      </c>
    </row>
    <row r="50" spans="1:15">
      <c r="A50" s="369"/>
      <c r="B50" s="413"/>
      <c r="C50" s="20"/>
      <c r="D50" s="65"/>
      <c r="E50" s="75" t="s">
        <v>37</v>
      </c>
      <c r="F50" s="76"/>
      <c r="G50" s="75" t="s">
        <v>7</v>
      </c>
      <c r="H50" s="68" t="s">
        <v>6</v>
      </c>
      <c r="I50" s="75">
        <v>1</v>
      </c>
      <c r="J50" s="75" t="s">
        <v>12</v>
      </c>
      <c r="K50" s="68" t="s">
        <v>6</v>
      </c>
      <c r="L50" s="430">
        <v>8</v>
      </c>
      <c r="M50" s="75" t="s">
        <v>18</v>
      </c>
      <c r="N50" s="17">
        <f t="shared" ref="N50:N54" si="3">F50*I50*L50</f>
        <v>0</v>
      </c>
      <c r="O50" s="383"/>
    </row>
    <row r="51" spans="1:15">
      <c r="A51" s="369"/>
      <c r="B51" s="413"/>
      <c r="C51" s="33" t="s">
        <v>31</v>
      </c>
      <c r="D51" s="65" t="s">
        <v>263</v>
      </c>
      <c r="E51" s="75" t="s">
        <v>263</v>
      </c>
      <c r="F51" s="76">
        <v>5950000</v>
      </c>
      <c r="G51" s="75" t="s">
        <v>7</v>
      </c>
      <c r="H51" s="68" t="s">
        <v>6</v>
      </c>
      <c r="I51" s="75">
        <v>1</v>
      </c>
      <c r="J51" s="75" t="s">
        <v>22</v>
      </c>
      <c r="K51" s="68" t="s">
        <v>6</v>
      </c>
      <c r="L51" s="429">
        <v>6</v>
      </c>
      <c r="M51" s="75" t="s">
        <v>18</v>
      </c>
      <c r="N51" s="275">
        <f t="shared" si="3"/>
        <v>35700000</v>
      </c>
      <c r="O51" s="383"/>
    </row>
    <row r="52" spans="1:15">
      <c r="A52" s="369"/>
      <c r="B52" s="413"/>
      <c r="C52" s="29" t="s">
        <v>35</v>
      </c>
      <c r="D52" s="65" t="s">
        <v>32</v>
      </c>
      <c r="E52" s="75" t="s">
        <v>38</v>
      </c>
      <c r="F52" s="76"/>
      <c r="G52" s="75" t="s">
        <v>7</v>
      </c>
      <c r="H52" s="68" t="s">
        <v>6</v>
      </c>
      <c r="I52" s="75">
        <v>2</v>
      </c>
      <c r="J52" s="75" t="s">
        <v>8</v>
      </c>
      <c r="K52" s="68" t="s">
        <v>6</v>
      </c>
      <c r="L52" s="430">
        <v>2</v>
      </c>
      <c r="M52" s="75" t="s">
        <v>9</v>
      </c>
      <c r="N52" s="17">
        <f t="shared" si="3"/>
        <v>0</v>
      </c>
      <c r="O52" s="383"/>
    </row>
    <row r="53" spans="1:15">
      <c r="A53" s="369"/>
      <c r="B53" s="413"/>
      <c r="C53" s="31"/>
      <c r="D53" s="65" t="s">
        <v>33</v>
      </c>
      <c r="E53" s="75" t="s">
        <v>39</v>
      </c>
      <c r="F53" s="76"/>
      <c r="G53" s="75" t="s">
        <v>7</v>
      </c>
      <c r="H53" s="68" t="s">
        <v>6</v>
      </c>
      <c r="I53" s="75">
        <v>2</v>
      </c>
      <c r="J53" s="75" t="s">
        <v>36</v>
      </c>
      <c r="K53" s="68" t="s">
        <v>6</v>
      </c>
      <c r="L53" s="430">
        <v>2</v>
      </c>
      <c r="M53" s="75" t="s">
        <v>9</v>
      </c>
      <c r="N53" s="17">
        <f t="shared" si="3"/>
        <v>0</v>
      </c>
      <c r="O53" s="383"/>
    </row>
    <row r="54" spans="1:15">
      <c r="A54" s="369"/>
      <c r="B54" s="414"/>
      <c r="C54" s="31"/>
      <c r="D54" s="65" t="s">
        <v>34</v>
      </c>
      <c r="E54" s="75" t="s">
        <v>40</v>
      </c>
      <c r="F54" s="76"/>
      <c r="G54" s="75" t="s">
        <v>7</v>
      </c>
      <c r="H54" s="68" t="s">
        <v>6</v>
      </c>
      <c r="I54" s="75">
        <v>3</v>
      </c>
      <c r="J54" s="75" t="s">
        <v>22</v>
      </c>
      <c r="K54" s="68" t="s">
        <v>6</v>
      </c>
      <c r="L54" s="430">
        <v>4</v>
      </c>
      <c r="M54" s="75" t="s">
        <v>18</v>
      </c>
      <c r="N54" s="17">
        <f t="shared" si="3"/>
        <v>0</v>
      </c>
      <c r="O54" s="383"/>
    </row>
    <row r="55" spans="1:15">
      <c r="A55" s="369"/>
      <c r="B55" s="415" t="s">
        <v>159</v>
      </c>
      <c r="C55" s="416"/>
      <c r="D55" s="416"/>
      <c r="E55" s="416"/>
      <c r="F55" s="416"/>
      <c r="G55" s="416"/>
      <c r="H55" s="416"/>
      <c r="I55" s="416"/>
      <c r="J55" s="416"/>
      <c r="K55" s="416"/>
      <c r="L55" s="416"/>
      <c r="M55" s="417"/>
      <c r="N55" s="5">
        <f>SUM(N49:N54)</f>
        <v>35700000</v>
      </c>
      <c r="O55" s="15"/>
    </row>
    <row r="56" spans="1:15">
      <c r="A56" s="371" t="s">
        <v>207</v>
      </c>
      <c r="B56" s="372"/>
      <c r="C56" s="372"/>
      <c r="D56" s="372"/>
      <c r="E56" s="372"/>
      <c r="F56" s="372"/>
      <c r="G56" s="372"/>
      <c r="H56" s="372"/>
      <c r="I56" s="372"/>
      <c r="J56" s="372"/>
      <c r="K56" s="372"/>
      <c r="L56" s="372"/>
      <c r="M56" s="372"/>
      <c r="N56" s="46">
        <f>N48+N55</f>
        <v>800000000</v>
      </c>
      <c r="O56" s="47"/>
    </row>
  </sheetData>
  <mergeCells count="21">
    <mergeCell ref="A1:O1"/>
    <mergeCell ref="A3:A4"/>
    <mergeCell ref="B3:B4"/>
    <mergeCell ref="C3:C4"/>
    <mergeCell ref="D3:D4"/>
    <mergeCell ref="E3:M3"/>
    <mergeCell ref="N3:N4"/>
    <mergeCell ref="O3:O4"/>
    <mergeCell ref="A56:M56"/>
    <mergeCell ref="A5:A47"/>
    <mergeCell ref="B5:B32"/>
    <mergeCell ref="O5:O32"/>
    <mergeCell ref="B33:M33"/>
    <mergeCell ref="B34:B46"/>
    <mergeCell ref="O34:O46"/>
    <mergeCell ref="B47:M47"/>
    <mergeCell ref="A48:M48"/>
    <mergeCell ref="A49:A55"/>
    <mergeCell ref="B49:B54"/>
    <mergeCell ref="O49:O54"/>
    <mergeCell ref="B55:M55"/>
  </mergeCells>
  <phoneticPr fontId="2" type="noConversion"/>
  <dataValidations count="1">
    <dataValidation type="list" allowBlank="1" showErrorMessage="1" errorTitle="유효하지 않은 값입니다." error="단위는 목록에서 선택해 주세요._x000a_직접 입력은 허용되지 않습니다." sqref="J6:J9" xr:uid="{32FC44E9-3734-4C8A-B5BA-A087F0522C59}">
      <formula1>"명,건,대,세트,부,실,개,회,식"</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7D8A7-A8FF-4AE8-8731-25DC7EA34877}">
  <sheetPr>
    <tabColor rgb="FF7030A0"/>
  </sheetPr>
  <dimension ref="A1:S56"/>
  <sheetViews>
    <sheetView tabSelected="1" zoomScale="75" zoomScaleNormal="75" workbookViewId="0">
      <selection activeCell="S14" sqref="S14"/>
    </sheetView>
  </sheetViews>
  <sheetFormatPr defaultColWidth="9" defaultRowHeight="19.2"/>
  <cols>
    <col min="1" max="1" width="7.8984375" customWidth="1"/>
    <col min="2" max="2" width="8.69921875" customWidth="1"/>
    <col min="3" max="3" width="26.09765625" customWidth="1"/>
    <col min="4" max="4" width="18.09765625" customWidth="1"/>
    <col min="5" max="5" width="24.69921875" customWidth="1"/>
    <col min="6" max="6" width="16.09765625" customWidth="1"/>
    <col min="7" max="7" width="7.59765625" customWidth="1"/>
    <col min="8" max="8" width="6.09765625" customWidth="1"/>
    <col min="9" max="9" width="7.59765625" customWidth="1"/>
    <col min="10" max="10" width="10" customWidth="1"/>
    <col min="11" max="11" width="6.59765625" customWidth="1"/>
    <col min="12" max="12" width="8.69921875" style="423" customWidth="1"/>
    <col min="14" max="14" width="17.8984375" customWidth="1"/>
    <col min="15" max="15" width="10.59765625" hidden="1" customWidth="1"/>
    <col min="16" max="19" width="9" style="457"/>
  </cols>
  <sheetData>
    <row r="1" spans="1:19" ht="71.25" customHeight="1">
      <c r="A1" s="401" t="s">
        <v>1356</v>
      </c>
      <c r="B1" s="402"/>
      <c r="C1" s="402"/>
      <c r="D1" s="402"/>
      <c r="E1" s="402"/>
      <c r="F1" s="402"/>
      <c r="G1" s="402"/>
      <c r="H1" s="402"/>
      <c r="I1" s="402"/>
      <c r="J1" s="402"/>
      <c r="K1" s="402"/>
      <c r="L1" s="402"/>
      <c r="M1" s="402"/>
      <c r="N1" s="402"/>
      <c r="O1" s="402"/>
    </row>
    <row r="2" spans="1:19" ht="19.8" thickBot="1"/>
    <row r="3" spans="1:19">
      <c r="A3" s="348" t="s">
        <v>26</v>
      </c>
      <c r="B3" s="350" t="s">
        <v>27</v>
      </c>
      <c r="C3" s="350" t="s">
        <v>28</v>
      </c>
      <c r="D3" s="350" t="s">
        <v>176</v>
      </c>
      <c r="E3" s="352" t="s">
        <v>1</v>
      </c>
      <c r="F3" s="352"/>
      <c r="G3" s="352"/>
      <c r="H3" s="352"/>
      <c r="I3" s="352"/>
      <c r="J3" s="352"/>
      <c r="K3" s="352"/>
      <c r="L3" s="352"/>
      <c r="M3" s="352"/>
      <c r="N3" s="353" t="s">
        <v>2</v>
      </c>
      <c r="O3" s="406" t="s">
        <v>3</v>
      </c>
    </row>
    <row r="4" spans="1:19">
      <c r="A4" s="403"/>
      <c r="B4" s="404"/>
      <c r="C4" s="404"/>
      <c r="D4" s="404"/>
      <c r="E4" s="282" t="s">
        <v>41</v>
      </c>
      <c r="F4" s="282" t="s">
        <v>47</v>
      </c>
      <c r="G4" s="282" t="s">
        <v>42</v>
      </c>
      <c r="H4" s="282" t="s">
        <v>6</v>
      </c>
      <c r="I4" s="282" t="s">
        <v>48</v>
      </c>
      <c r="J4" s="282" t="s">
        <v>42</v>
      </c>
      <c r="K4" s="282" t="s">
        <v>6</v>
      </c>
      <c r="L4" s="424" t="s">
        <v>49</v>
      </c>
      <c r="M4" s="282" t="s">
        <v>42</v>
      </c>
      <c r="N4" s="405"/>
      <c r="O4" s="407"/>
    </row>
    <row r="5" spans="1:19" s="188" customFormat="1" ht="35.4" customHeight="1">
      <c r="A5" s="370" t="s">
        <v>17</v>
      </c>
      <c r="B5" s="370" t="s">
        <v>52</v>
      </c>
      <c r="C5" s="29" t="s">
        <v>169</v>
      </c>
      <c r="D5" s="189" t="s">
        <v>227</v>
      </c>
      <c r="E5" s="189" t="s">
        <v>228</v>
      </c>
      <c r="F5" s="190">
        <v>40000</v>
      </c>
      <c r="G5" s="191" t="s">
        <v>7</v>
      </c>
      <c r="H5" s="191" t="s">
        <v>4</v>
      </c>
      <c r="I5" s="190">
        <v>62</v>
      </c>
      <c r="J5" s="189" t="s">
        <v>8</v>
      </c>
      <c r="K5" s="191" t="s">
        <v>4</v>
      </c>
      <c r="L5" s="425">
        <v>8</v>
      </c>
      <c r="M5" s="189" t="s">
        <v>18</v>
      </c>
      <c r="N5" s="193">
        <f t="shared" ref="N5:N32" si="0">F5*I5*L5</f>
        <v>19840000</v>
      </c>
      <c r="O5" s="420">
        <f>N33/N48</f>
        <v>0.87066596886039516</v>
      </c>
      <c r="P5" s="458"/>
      <c r="Q5" s="458"/>
      <c r="R5" s="458"/>
      <c r="S5" s="458"/>
    </row>
    <row r="6" spans="1:19" s="188" customFormat="1" ht="40.049999999999997" customHeight="1">
      <c r="A6" s="370"/>
      <c r="B6" s="370"/>
      <c r="C6" s="29"/>
      <c r="D6" s="189" t="s">
        <v>227</v>
      </c>
      <c r="E6" s="267" t="s">
        <v>1362</v>
      </c>
      <c r="F6" s="268">
        <v>30000</v>
      </c>
      <c r="G6" s="191" t="s">
        <v>7</v>
      </c>
      <c r="H6" s="191" t="s">
        <v>4</v>
      </c>
      <c r="I6" s="269">
        <v>1</v>
      </c>
      <c r="J6" s="270" t="s">
        <v>1359</v>
      </c>
      <c r="K6" s="191" t="s">
        <v>6</v>
      </c>
      <c r="L6" s="426">
        <v>34</v>
      </c>
      <c r="M6" s="191" t="s">
        <v>9</v>
      </c>
      <c r="N6" s="193">
        <f t="shared" si="0"/>
        <v>1020000</v>
      </c>
      <c r="O6" s="420"/>
      <c r="P6" s="458"/>
      <c r="Q6" s="458"/>
      <c r="R6" s="458"/>
      <c r="S6" s="458"/>
    </row>
    <row r="7" spans="1:19" s="188" customFormat="1" ht="40.049999999999997" customHeight="1">
      <c r="A7" s="370"/>
      <c r="B7" s="370"/>
      <c r="C7" s="29"/>
      <c r="D7" s="189" t="s">
        <v>227</v>
      </c>
      <c r="E7" s="267" t="s">
        <v>1364</v>
      </c>
      <c r="F7" s="268">
        <v>210000</v>
      </c>
      <c r="G7" s="191" t="s">
        <v>7</v>
      </c>
      <c r="H7" s="191" t="s">
        <v>4</v>
      </c>
      <c r="I7" s="269">
        <v>1</v>
      </c>
      <c r="J7" s="270" t="s">
        <v>1358</v>
      </c>
      <c r="K7" s="191" t="s">
        <v>6</v>
      </c>
      <c r="L7" s="426">
        <v>4</v>
      </c>
      <c r="M7" s="191" t="s">
        <v>9</v>
      </c>
      <c r="N7" s="193">
        <f t="shared" si="0"/>
        <v>840000</v>
      </c>
      <c r="O7" s="420"/>
      <c r="P7" s="458"/>
      <c r="Q7" s="458"/>
      <c r="R7" s="458"/>
      <c r="S7" s="458"/>
    </row>
    <row r="8" spans="1:19" s="188" customFormat="1" ht="40.049999999999997" customHeight="1">
      <c r="A8" s="370"/>
      <c r="B8" s="370"/>
      <c r="C8" s="31"/>
      <c r="D8" s="189" t="s">
        <v>227</v>
      </c>
      <c r="E8" s="267" t="s">
        <v>1366</v>
      </c>
      <c r="F8" s="268">
        <v>1155000</v>
      </c>
      <c r="G8" s="191" t="s">
        <v>7</v>
      </c>
      <c r="H8" s="191" t="s">
        <v>4</v>
      </c>
      <c r="I8" s="269">
        <v>1</v>
      </c>
      <c r="J8" s="270" t="s">
        <v>1358</v>
      </c>
      <c r="K8" s="191" t="s">
        <v>6</v>
      </c>
      <c r="L8" s="426">
        <v>4</v>
      </c>
      <c r="M8" s="191" t="s">
        <v>9</v>
      </c>
      <c r="N8" s="193">
        <f t="shared" si="0"/>
        <v>4620000</v>
      </c>
      <c r="O8" s="420"/>
      <c r="P8" s="458"/>
      <c r="Q8" s="458"/>
      <c r="R8" s="458"/>
      <c r="S8" s="458"/>
    </row>
    <row r="9" spans="1:19" s="188" customFormat="1" ht="40.049999999999997" customHeight="1">
      <c r="A9" s="370"/>
      <c r="B9" s="370"/>
      <c r="C9" s="31"/>
      <c r="D9" s="189" t="s">
        <v>227</v>
      </c>
      <c r="E9" s="267" t="s">
        <v>1368</v>
      </c>
      <c r="F9" s="268">
        <v>230000</v>
      </c>
      <c r="G9" s="191" t="s">
        <v>7</v>
      </c>
      <c r="H9" s="191" t="s">
        <v>4</v>
      </c>
      <c r="I9" s="269">
        <v>1</v>
      </c>
      <c r="J9" s="270" t="s">
        <v>1358</v>
      </c>
      <c r="K9" s="191" t="s">
        <v>6</v>
      </c>
      <c r="L9" s="426">
        <v>1</v>
      </c>
      <c r="M9" s="191" t="s">
        <v>9</v>
      </c>
      <c r="N9" s="193">
        <f t="shared" si="0"/>
        <v>230000</v>
      </c>
      <c r="O9" s="420"/>
      <c r="P9" s="458"/>
      <c r="Q9" s="458"/>
      <c r="R9" s="458"/>
      <c r="S9" s="458"/>
    </row>
    <row r="10" spans="1:19" s="188" customFormat="1" ht="40.049999999999997" customHeight="1">
      <c r="A10" s="370"/>
      <c r="B10" s="370"/>
      <c r="C10" s="29" t="s">
        <v>170</v>
      </c>
      <c r="D10" s="194" t="s">
        <v>1360</v>
      </c>
      <c r="E10" s="61" t="s">
        <v>230</v>
      </c>
      <c r="F10" s="190">
        <v>55000</v>
      </c>
      <c r="G10" s="191" t="s">
        <v>7</v>
      </c>
      <c r="H10" s="191" t="s">
        <v>4</v>
      </c>
      <c r="I10" s="192">
        <v>186</v>
      </c>
      <c r="J10" s="191" t="s">
        <v>24</v>
      </c>
      <c r="K10" s="191" t="s">
        <v>6</v>
      </c>
      <c r="L10" s="427">
        <v>1</v>
      </c>
      <c r="M10" s="191" t="s">
        <v>9</v>
      </c>
      <c r="N10" s="193">
        <f t="shared" si="0"/>
        <v>10230000</v>
      </c>
      <c r="O10" s="420"/>
      <c r="P10" s="458"/>
      <c r="Q10" s="458"/>
      <c r="R10" s="458"/>
      <c r="S10" s="458"/>
    </row>
    <row r="11" spans="1:19" s="188" customFormat="1" ht="40.049999999999997" customHeight="1">
      <c r="A11" s="370"/>
      <c r="B11" s="370"/>
      <c r="C11" s="29"/>
      <c r="D11" s="194" t="s">
        <v>1360</v>
      </c>
      <c r="E11" s="62" t="s">
        <v>250</v>
      </c>
      <c r="F11" s="190">
        <v>298000</v>
      </c>
      <c r="G11" s="191" t="s">
        <v>7</v>
      </c>
      <c r="H11" s="191" t="s">
        <v>4</v>
      </c>
      <c r="I11" s="192">
        <v>201</v>
      </c>
      <c r="J11" s="191" t="s">
        <v>24</v>
      </c>
      <c r="K11" s="191" t="s">
        <v>6</v>
      </c>
      <c r="L11" s="427">
        <v>1</v>
      </c>
      <c r="M11" s="191" t="s">
        <v>9</v>
      </c>
      <c r="N11" s="193">
        <f t="shared" si="0"/>
        <v>59898000</v>
      </c>
      <c r="O11" s="420"/>
      <c r="P11" s="458"/>
      <c r="Q11" s="458"/>
      <c r="R11" s="458"/>
      <c r="S11" s="458"/>
    </row>
    <row r="12" spans="1:19" s="188" customFormat="1" ht="40.049999999999997" customHeight="1">
      <c r="A12" s="370"/>
      <c r="B12" s="370"/>
      <c r="C12" s="29"/>
      <c r="D12" s="194" t="s">
        <v>1360</v>
      </c>
      <c r="E12" s="62" t="s">
        <v>251</v>
      </c>
      <c r="F12" s="190">
        <v>77000</v>
      </c>
      <c r="G12" s="191" t="s">
        <v>7</v>
      </c>
      <c r="H12" s="191" t="s">
        <v>4</v>
      </c>
      <c r="I12" s="192">
        <v>169</v>
      </c>
      <c r="J12" s="191" t="s">
        <v>24</v>
      </c>
      <c r="K12" s="191" t="s">
        <v>6</v>
      </c>
      <c r="L12" s="427">
        <v>1</v>
      </c>
      <c r="M12" s="191" t="s">
        <v>9</v>
      </c>
      <c r="N12" s="193">
        <f t="shared" si="0"/>
        <v>13013000</v>
      </c>
      <c r="O12" s="420"/>
      <c r="P12" s="458"/>
      <c r="Q12" s="458"/>
      <c r="R12" s="458"/>
      <c r="S12" s="458"/>
    </row>
    <row r="13" spans="1:19" s="188" customFormat="1" ht="40.049999999999997" customHeight="1">
      <c r="A13" s="370"/>
      <c r="B13" s="370"/>
      <c r="C13" s="29"/>
      <c r="D13" s="194" t="s">
        <v>1360</v>
      </c>
      <c r="E13" s="62" t="s">
        <v>252</v>
      </c>
      <c r="F13" s="190">
        <v>298000</v>
      </c>
      <c r="G13" s="191" t="s">
        <v>7</v>
      </c>
      <c r="H13" s="191" t="s">
        <v>4</v>
      </c>
      <c r="I13" s="192">
        <v>218</v>
      </c>
      <c r="J13" s="191" t="s">
        <v>24</v>
      </c>
      <c r="K13" s="191" t="s">
        <v>6</v>
      </c>
      <c r="L13" s="427">
        <v>1</v>
      </c>
      <c r="M13" s="191" t="s">
        <v>9</v>
      </c>
      <c r="N13" s="193">
        <f t="shared" si="0"/>
        <v>64964000</v>
      </c>
      <c r="O13" s="420"/>
      <c r="P13" s="458"/>
      <c r="Q13" s="458"/>
      <c r="R13" s="458"/>
      <c r="S13" s="458"/>
    </row>
    <row r="14" spans="1:19" s="188" customFormat="1" ht="40.049999999999997" customHeight="1">
      <c r="A14" s="370"/>
      <c r="B14" s="370"/>
      <c r="C14" s="29"/>
      <c r="D14" s="194" t="s">
        <v>1360</v>
      </c>
      <c r="E14" s="62" t="s">
        <v>253</v>
      </c>
      <c r="F14" s="190">
        <v>77000</v>
      </c>
      <c r="G14" s="191" t="s">
        <v>7</v>
      </c>
      <c r="H14" s="191" t="s">
        <v>4</v>
      </c>
      <c r="I14" s="192">
        <v>175</v>
      </c>
      <c r="J14" s="191" t="s">
        <v>24</v>
      </c>
      <c r="K14" s="191" t="s">
        <v>6</v>
      </c>
      <c r="L14" s="427">
        <v>1</v>
      </c>
      <c r="M14" s="191" t="s">
        <v>9</v>
      </c>
      <c r="N14" s="193">
        <f t="shared" si="0"/>
        <v>13475000</v>
      </c>
      <c r="O14" s="420"/>
      <c r="P14" s="458"/>
      <c r="Q14" s="458"/>
      <c r="R14" s="458"/>
      <c r="S14" s="458"/>
    </row>
    <row r="15" spans="1:19" s="188" customFormat="1" ht="40.049999999999997" customHeight="1">
      <c r="A15" s="370"/>
      <c r="B15" s="370"/>
      <c r="C15" s="29"/>
      <c r="D15" s="194" t="s">
        <v>1360</v>
      </c>
      <c r="E15" s="62" t="s">
        <v>255</v>
      </c>
      <c r="F15" s="190">
        <v>298000</v>
      </c>
      <c r="G15" s="191" t="s">
        <v>7</v>
      </c>
      <c r="H15" s="191" t="s">
        <v>4</v>
      </c>
      <c r="I15" s="192">
        <v>134</v>
      </c>
      <c r="J15" s="191" t="s">
        <v>24</v>
      </c>
      <c r="K15" s="191" t="s">
        <v>6</v>
      </c>
      <c r="L15" s="427">
        <v>1</v>
      </c>
      <c r="M15" s="191" t="s">
        <v>9</v>
      </c>
      <c r="N15" s="193">
        <f t="shared" si="0"/>
        <v>39932000</v>
      </c>
      <c r="O15" s="420"/>
      <c r="P15" s="458"/>
      <c r="Q15" s="458"/>
      <c r="R15" s="458"/>
      <c r="S15" s="458"/>
    </row>
    <row r="16" spans="1:19" s="188" customFormat="1" ht="40.049999999999997" customHeight="1">
      <c r="A16" s="370"/>
      <c r="B16" s="370"/>
      <c r="C16" s="29"/>
      <c r="D16" s="194" t="s">
        <v>1360</v>
      </c>
      <c r="E16" s="62" t="s">
        <v>256</v>
      </c>
      <c r="F16" s="190">
        <v>298000</v>
      </c>
      <c r="G16" s="191" t="s">
        <v>7</v>
      </c>
      <c r="H16" s="191" t="s">
        <v>4</v>
      </c>
      <c r="I16" s="192">
        <v>108</v>
      </c>
      <c r="J16" s="191" t="s">
        <v>24</v>
      </c>
      <c r="K16" s="191" t="s">
        <v>6</v>
      </c>
      <c r="L16" s="427">
        <v>1</v>
      </c>
      <c r="M16" s="191" t="s">
        <v>9</v>
      </c>
      <c r="N16" s="193">
        <f t="shared" si="0"/>
        <v>32184000</v>
      </c>
      <c r="O16" s="420"/>
      <c r="P16" s="458"/>
      <c r="Q16" s="458"/>
      <c r="R16" s="458"/>
      <c r="S16" s="458"/>
    </row>
    <row r="17" spans="1:19" s="188" customFormat="1" ht="40.049999999999997" customHeight="1">
      <c r="A17" s="370"/>
      <c r="B17" s="370"/>
      <c r="C17" s="33"/>
      <c r="D17" s="191" t="s">
        <v>232</v>
      </c>
      <c r="E17" s="61" t="s">
        <v>231</v>
      </c>
      <c r="F17" s="190">
        <v>5751</v>
      </c>
      <c r="G17" s="191" t="s">
        <v>7</v>
      </c>
      <c r="H17" s="191" t="s">
        <v>4</v>
      </c>
      <c r="I17" s="192">
        <v>20</v>
      </c>
      <c r="J17" s="191" t="s">
        <v>24</v>
      </c>
      <c r="K17" s="191" t="s">
        <v>6</v>
      </c>
      <c r="L17" s="427">
        <v>200</v>
      </c>
      <c r="M17" s="191" t="s">
        <v>9</v>
      </c>
      <c r="N17" s="193">
        <f t="shared" si="0"/>
        <v>23004000</v>
      </c>
      <c r="O17" s="420"/>
      <c r="P17" s="458"/>
      <c r="Q17" s="458"/>
      <c r="R17" s="458"/>
      <c r="S17" s="458"/>
    </row>
    <row r="18" spans="1:19" s="188" customFormat="1" ht="40.049999999999997" customHeight="1">
      <c r="A18" s="370"/>
      <c r="B18" s="370"/>
      <c r="C18" s="280" t="s">
        <v>171</v>
      </c>
      <c r="D18" s="277"/>
      <c r="E18" s="281"/>
      <c r="F18" s="276"/>
      <c r="G18" s="277" t="s">
        <v>7</v>
      </c>
      <c r="H18" s="277" t="s">
        <v>4</v>
      </c>
      <c r="I18" s="276"/>
      <c r="J18" s="277" t="s">
        <v>150</v>
      </c>
      <c r="K18" s="277" t="s">
        <v>6</v>
      </c>
      <c r="L18" s="428"/>
      <c r="M18" s="277" t="s">
        <v>9</v>
      </c>
      <c r="N18" s="278">
        <f t="shared" si="0"/>
        <v>0</v>
      </c>
      <c r="O18" s="420"/>
      <c r="P18" s="458"/>
      <c r="Q18" s="458"/>
      <c r="R18" s="458"/>
      <c r="S18" s="458"/>
    </row>
    <row r="19" spans="1:19" s="188" customFormat="1" ht="40.049999999999997" customHeight="1">
      <c r="A19" s="370"/>
      <c r="B19" s="370"/>
      <c r="C19" s="54" t="s">
        <v>172</v>
      </c>
      <c r="D19" s="196" t="s">
        <v>14</v>
      </c>
      <c r="E19" s="451" t="s">
        <v>233</v>
      </c>
      <c r="F19" s="195">
        <v>75000</v>
      </c>
      <c r="G19" s="196" t="s">
        <v>7</v>
      </c>
      <c r="H19" s="196" t="s">
        <v>4</v>
      </c>
      <c r="I19" s="195">
        <v>8</v>
      </c>
      <c r="J19" s="196" t="s">
        <v>241</v>
      </c>
      <c r="K19" s="196" t="s">
        <v>6</v>
      </c>
      <c r="L19" s="275">
        <v>253</v>
      </c>
      <c r="M19" s="196" t="s">
        <v>9</v>
      </c>
      <c r="N19" s="193">
        <f>F19*I19*L19</f>
        <v>151800000</v>
      </c>
      <c r="O19" s="420"/>
      <c r="P19" s="458"/>
      <c r="Q19" s="458"/>
      <c r="R19" s="458"/>
      <c r="S19" s="458"/>
    </row>
    <row r="20" spans="1:19" s="188" customFormat="1" ht="40.049999999999997" customHeight="1">
      <c r="A20" s="370"/>
      <c r="B20" s="370"/>
      <c r="C20" s="31"/>
      <c r="D20" s="196" t="s">
        <v>14</v>
      </c>
      <c r="E20" s="451" t="s">
        <v>234</v>
      </c>
      <c r="F20" s="195">
        <v>45000</v>
      </c>
      <c r="G20" s="196" t="s">
        <v>7</v>
      </c>
      <c r="H20" s="197" t="s">
        <v>6</v>
      </c>
      <c r="I20" s="195">
        <v>8</v>
      </c>
      <c r="J20" s="196" t="s">
        <v>12</v>
      </c>
      <c r="K20" s="196" t="s">
        <v>6</v>
      </c>
      <c r="L20" s="275">
        <v>253</v>
      </c>
      <c r="M20" s="196" t="s">
        <v>9</v>
      </c>
      <c r="N20" s="193">
        <f>F20*I20*L20</f>
        <v>91080000</v>
      </c>
      <c r="O20" s="420"/>
      <c r="P20" s="458"/>
      <c r="Q20" s="458"/>
      <c r="R20" s="458"/>
      <c r="S20" s="458"/>
    </row>
    <row r="21" spans="1:19" ht="40.049999999999997" customHeight="1">
      <c r="A21" s="370"/>
      <c r="B21" s="370"/>
      <c r="C21" s="31"/>
      <c r="D21" s="196" t="s">
        <v>235</v>
      </c>
      <c r="E21" s="451" t="s">
        <v>236</v>
      </c>
      <c r="F21" s="195">
        <v>100000</v>
      </c>
      <c r="G21" s="196" t="s">
        <v>7</v>
      </c>
      <c r="H21" s="197" t="s">
        <v>6</v>
      </c>
      <c r="I21" s="195">
        <v>1</v>
      </c>
      <c r="J21" s="196" t="s">
        <v>12</v>
      </c>
      <c r="K21" s="196" t="s">
        <v>6</v>
      </c>
      <c r="L21" s="275">
        <v>0</v>
      </c>
      <c r="M21" s="196" t="s">
        <v>9</v>
      </c>
      <c r="N21" s="193">
        <f>F21*I21*L21</f>
        <v>0</v>
      </c>
      <c r="O21" s="420"/>
      <c r="P21" s="459" t="s">
        <v>1379</v>
      </c>
    </row>
    <row r="22" spans="1:19" ht="40.049999999999997" customHeight="1">
      <c r="A22" s="370"/>
      <c r="B22" s="370"/>
      <c r="C22" s="31"/>
      <c r="D22" s="196" t="s">
        <v>237</v>
      </c>
      <c r="E22" s="445" t="s">
        <v>238</v>
      </c>
      <c r="F22" s="195">
        <v>250000</v>
      </c>
      <c r="G22" s="196" t="s">
        <v>7</v>
      </c>
      <c r="H22" s="196" t="s">
        <v>4</v>
      </c>
      <c r="I22" s="195">
        <v>1</v>
      </c>
      <c r="J22" s="196" t="s">
        <v>12</v>
      </c>
      <c r="K22" s="196" t="s">
        <v>6</v>
      </c>
      <c r="L22" s="275">
        <v>0</v>
      </c>
      <c r="M22" s="196" t="s">
        <v>9</v>
      </c>
      <c r="N22" s="193">
        <f t="shared" si="0"/>
        <v>0</v>
      </c>
      <c r="O22" s="420"/>
      <c r="P22" s="459" t="s">
        <v>1379</v>
      </c>
    </row>
    <row r="23" spans="1:19" ht="40.049999999999997" customHeight="1">
      <c r="A23" s="370"/>
      <c r="B23" s="370"/>
      <c r="C23" s="31"/>
      <c r="D23" s="446" t="s">
        <v>247</v>
      </c>
      <c r="E23" s="452" t="s">
        <v>247</v>
      </c>
      <c r="F23" s="279">
        <v>10000</v>
      </c>
      <c r="G23" s="446" t="s">
        <v>7</v>
      </c>
      <c r="H23" s="446" t="s">
        <v>4</v>
      </c>
      <c r="I23" s="279">
        <v>1</v>
      </c>
      <c r="J23" s="446" t="s">
        <v>12</v>
      </c>
      <c r="K23" s="446" t="s">
        <v>6</v>
      </c>
      <c r="L23" s="448">
        <v>179</v>
      </c>
      <c r="M23" s="446" t="s">
        <v>9</v>
      </c>
      <c r="N23" s="180">
        <f>F23*I23*L23</f>
        <v>1790000</v>
      </c>
      <c r="O23" s="420"/>
    </row>
    <row r="24" spans="1:19">
      <c r="A24" s="370"/>
      <c r="B24" s="370"/>
      <c r="C24" s="54" t="s">
        <v>182</v>
      </c>
      <c r="D24" s="444" t="s">
        <v>183</v>
      </c>
      <c r="E24" s="451" t="s">
        <v>239</v>
      </c>
      <c r="F24" s="279">
        <v>20000</v>
      </c>
      <c r="G24" s="446" t="s">
        <v>7</v>
      </c>
      <c r="H24" s="447" t="s">
        <v>6</v>
      </c>
      <c r="I24" s="279">
        <v>8</v>
      </c>
      <c r="J24" s="446" t="s">
        <v>12</v>
      </c>
      <c r="K24" s="446" t="s">
        <v>6</v>
      </c>
      <c r="L24" s="448">
        <v>160</v>
      </c>
      <c r="M24" s="446" t="s">
        <v>9</v>
      </c>
      <c r="N24" s="180">
        <f>F24*I24*L24</f>
        <v>25600000</v>
      </c>
      <c r="O24" s="420"/>
    </row>
    <row r="25" spans="1:19">
      <c r="A25" s="370"/>
      <c r="B25" s="370"/>
      <c r="C25" s="31"/>
      <c r="D25" s="444"/>
      <c r="E25" s="451" t="s">
        <v>240</v>
      </c>
      <c r="F25" s="279">
        <v>20000</v>
      </c>
      <c r="G25" s="446" t="s">
        <v>7</v>
      </c>
      <c r="H25" s="447" t="s">
        <v>6</v>
      </c>
      <c r="I25" s="279">
        <v>8</v>
      </c>
      <c r="J25" s="446" t="s">
        <v>12</v>
      </c>
      <c r="K25" s="446" t="s">
        <v>6</v>
      </c>
      <c r="L25" s="448">
        <v>160</v>
      </c>
      <c r="M25" s="446" t="s">
        <v>9</v>
      </c>
      <c r="N25" s="180">
        <f t="shared" si="0"/>
        <v>25600000</v>
      </c>
      <c r="O25" s="420"/>
    </row>
    <row r="26" spans="1:19" ht="28.8">
      <c r="A26" s="370"/>
      <c r="B26" s="370"/>
      <c r="C26" s="33" t="s">
        <v>173</v>
      </c>
      <c r="D26" s="444" t="s">
        <v>242</v>
      </c>
      <c r="E26" s="445" t="s">
        <v>1354</v>
      </c>
      <c r="F26" s="279">
        <v>25000</v>
      </c>
      <c r="G26" s="446" t="s">
        <v>7</v>
      </c>
      <c r="H26" s="447" t="s">
        <v>6</v>
      </c>
      <c r="I26" s="279">
        <v>40</v>
      </c>
      <c r="J26" s="446" t="s">
        <v>241</v>
      </c>
      <c r="K26" s="446" t="s">
        <v>6</v>
      </c>
      <c r="L26" s="448">
        <v>6</v>
      </c>
      <c r="M26" s="446" t="s">
        <v>9</v>
      </c>
      <c r="N26" s="180">
        <f t="shared" si="0"/>
        <v>6000000</v>
      </c>
      <c r="O26" s="420"/>
    </row>
    <row r="27" spans="1:19">
      <c r="A27" s="370"/>
      <c r="B27" s="370"/>
      <c r="C27" s="33"/>
      <c r="D27" s="444" t="s">
        <v>243</v>
      </c>
      <c r="E27" s="451" t="s">
        <v>244</v>
      </c>
      <c r="F27" s="279">
        <v>10000</v>
      </c>
      <c r="G27" s="446" t="s">
        <v>7</v>
      </c>
      <c r="H27" s="447" t="s">
        <v>6</v>
      </c>
      <c r="I27" s="279">
        <v>22</v>
      </c>
      <c r="J27" s="446" t="s">
        <v>12</v>
      </c>
      <c r="K27" s="446" t="s">
        <v>6</v>
      </c>
      <c r="L27" s="448">
        <v>331</v>
      </c>
      <c r="M27" s="446" t="s">
        <v>9</v>
      </c>
      <c r="N27" s="180">
        <f t="shared" si="0"/>
        <v>72820000</v>
      </c>
      <c r="O27" s="420"/>
    </row>
    <row r="28" spans="1:19" ht="31.2" customHeight="1">
      <c r="A28" s="370"/>
      <c r="B28" s="370"/>
      <c r="C28" s="54" t="s">
        <v>174</v>
      </c>
      <c r="D28" s="444" t="s">
        <v>245</v>
      </c>
      <c r="E28" s="451" t="s">
        <v>245</v>
      </c>
      <c r="F28" s="279">
        <v>500</v>
      </c>
      <c r="G28" s="446" t="s">
        <v>7</v>
      </c>
      <c r="H28" s="447" t="s">
        <v>6</v>
      </c>
      <c r="I28" s="279">
        <v>20</v>
      </c>
      <c r="J28" s="446" t="s">
        <v>12</v>
      </c>
      <c r="K28" s="446" t="s">
        <v>6</v>
      </c>
      <c r="L28" s="448">
        <v>143</v>
      </c>
      <c r="M28" s="446" t="s">
        <v>9</v>
      </c>
      <c r="N28" s="180">
        <f t="shared" si="0"/>
        <v>1430000</v>
      </c>
      <c r="O28" s="420"/>
    </row>
    <row r="29" spans="1:19">
      <c r="A29" s="370"/>
      <c r="B29" s="370"/>
      <c r="C29" s="33"/>
      <c r="D29" s="65"/>
      <c r="E29" s="71"/>
      <c r="F29" s="64"/>
      <c r="G29" s="68"/>
      <c r="H29" s="65"/>
      <c r="I29" s="68"/>
      <c r="J29" s="68"/>
      <c r="K29" s="68"/>
      <c r="L29" s="187"/>
      <c r="M29" s="68"/>
      <c r="N29" s="180">
        <f t="shared" si="0"/>
        <v>0</v>
      </c>
      <c r="O29" s="420"/>
    </row>
    <row r="30" spans="1:19">
      <c r="A30" s="370"/>
      <c r="B30" s="370"/>
      <c r="C30" s="33" t="s">
        <v>187</v>
      </c>
      <c r="D30" s="60" t="s">
        <v>246</v>
      </c>
      <c r="E30" s="61" t="s">
        <v>254</v>
      </c>
      <c r="F30" s="64">
        <v>10000</v>
      </c>
      <c r="G30" s="65" t="s">
        <v>7</v>
      </c>
      <c r="H30" s="69" t="s">
        <v>6</v>
      </c>
      <c r="I30" s="68">
        <v>32</v>
      </c>
      <c r="J30" s="65" t="s">
        <v>248</v>
      </c>
      <c r="K30" s="65" t="s">
        <v>6</v>
      </c>
      <c r="L30" s="187">
        <v>19</v>
      </c>
      <c r="M30" s="65" t="s">
        <v>9</v>
      </c>
      <c r="N30" s="180">
        <f t="shared" si="0"/>
        <v>6080000</v>
      </c>
      <c r="O30" s="420"/>
    </row>
    <row r="31" spans="1:19">
      <c r="A31" s="370"/>
      <c r="B31" s="370"/>
      <c r="C31" s="31"/>
      <c r="D31" s="65"/>
      <c r="E31" s="67"/>
      <c r="F31" s="64"/>
      <c r="G31" s="65"/>
      <c r="H31" s="69"/>
      <c r="I31" s="68"/>
      <c r="J31" s="65"/>
      <c r="K31" s="65"/>
      <c r="L31" s="187"/>
      <c r="M31" s="65"/>
      <c r="N31" s="180">
        <f t="shared" si="0"/>
        <v>0</v>
      </c>
      <c r="O31" s="420"/>
    </row>
    <row r="32" spans="1:19">
      <c r="A32" s="370"/>
      <c r="B32" s="370"/>
      <c r="C32" s="33" t="s">
        <v>175</v>
      </c>
      <c r="D32" s="65"/>
      <c r="E32" s="67"/>
      <c r="F32" s="64"/>
      <c r="G32" s="65"/>
      <c r="H32" s="69"/>
      <c r="I32" s="68"/>
      <c r="J32" s="65"/>
      <c r="K32" s="65"/>
      <c r="L32" s="187"/>
      <c r="M32" s="65"/>
      <c r="N32" s="66">
        <f t="shared" si="0"/>
        <v>0</v>
      </c>
      <c r="O32" s="420"/>
    </row>
    <row r="33" spans="1:18">
      <c r="A33" s="370"/>
      <c r="B33" s="418" t="s">
        <v>156</v>
      </c>
      <c r="C33" s="418"/>
      <c r="D33" s="418"/>
      <c r="E33" s="418"/>
      <c r="F33" s="418"/>
      <c r="G33" s="418"/>
      <c r="H33" s="418"/>
      <c r="I33" s="418"/>
      <c r="J33" s="418"/>
      <c r="K33" s="418"/>
      <c r="L33" s="418"/>
      <c r="M33" s="418"/>
      <c r="N33" s="235">
        <f>SUM(N5:N32)</f>
        <v>665450000</v>
      </c>
      <c r="O33" s="285"/>
    </row>
    <row r="34" spans="1:18">
      <c r="A34" s="370"/>
      <c r="B34" s="370" t="s">
        <v>53</v>
      </c>
      <c r="C34" s="33" t="s">
        <v>193</v>
      </c>
      <c r="D34" s="446" t="s">
        <v>195</v>
      </c>
      <c r="E34" s="453" t="s">
        <v>257</v>
      </c>
      <c r="F34" s="279">
        <v>4800000</v>
      </c>
      <c r="G34" s="446" t="s">
        <v>7</v>
      </c>
      <c r="H34" s="446" t="s">
        <v>4</v>
      </c>
      <c r="I34" s="454">
        <v>1</v>
      </c>
      <c r="J34" s="446" t="s">
        <v>21</v>
      </c>
      <c r="K34" s="446" t="s">
        <v>6</v>
      </c>
      <c r="L34" s="448">
        <v>5</v>
      </c>
      <c r="M34" s="446" t="s">
        <v>18</v>
      </c>
      <c r="N34" s="180">
        <f>F34*I34*L34</f>
        <v>24000000</v>
      </c>
      <c r="O34" s="419">
        <f>N47/N48</f>
        <v>0.12933403113960487</v>
      </c>
    </row>
    <row r="35" spans="1:18">
      <c r="A35" s="370"/>
      <c r="B35" s="370"/>
      <c r="C35" s="33"/>
      <c r="D35" s="446"/>
      <c r="E35" s="453" t="s">
        <v>258</v>
      </c>
      <c r="F35" s="279">
        <v>3600000</v>
      </c>
      <c r="G35" s="446" t="s">
        <v>7</v>
      </c>
      <c r="H35" s="446" t="s">
        <v>4</v>
      </c>
      <c r="I35" s="454">
        <v>1</v>
      </c>
      <c r="J35" s="446" t="s">
        <v>21</v>
      </c>
      <c r="K35" s="446" t="s">
        <v>6</v>
      </c>
      <c r="L35" s="448">
        <v>6</v>
      </c>
      <c r="M35" s="446" t="s">
        <v>18</v>
      </c>
      <c r="N35" s="180">
        <f t="shared" ref="N35:N39" si="1">F35*I35*L35</f>
        <v>21600000</v>
      </c>
      <c r="O35" s="419"/>
    </row>
    <row r="36" spans="1:18">
      <c r="A36" s="370"/>
      <c r="B36" s="370"/>
      <c r="C36" s="33"/>
      <c r="D36" s="446"/>
      <c r="E36" s="453" t="s">
        <v>259</v>
      </c>
      <c r="F36" s="279">
        <v>2200000</v>
      </c>
      <c r="G36" s="446" t="s">
        <v>7</v>
      </c>
      <c r="H36" s="446" t="s">
        <v>4</v>
      </c>
      <c r="I36" s="454">
        <v>1</v>
      </c>
      <c r="J36" s="446" t="s">
        <v>21</v>
      </c>
      <c r="K36" s="446" t="s">
        <v>6</v>
      </c>
      <c r="L36" s="448">
        <v>6</v>
      </c>
      <c r="M36" s="446" t="s">
        <v>18</v>
      </c>
      <c r="N36" s="180">
        <f t="shared" si="1"/>
        <v>13200000</v>
      </c>
      <c r="O36" s="419"/>
    </row>
    <row r="37" spans="1:18">
      <c r="A37" s="370"/>
      <c r="B37" s="370"/>
      <c r="C37" s="33"/>
      <c r="D37" s="446"/>
      <c r="E37" s="453" t="s">
        <v>260</v>
      </c>
      <c r="F37" s="279">
        <v>2200000</v>
      </c>
      <c r="G37" s="446" t="s">
        <v>7</v>
      </c>
      <c r="H37" s="446" t="s">
        <v>4</v>
      </c>
      <c r="I37" s="454">
        <v>1</v>
      </c>
      <c r="J37" s="446" t="s">
        <v>21</v>
      </c>
      <c r="K37" s="446" t="s">
        <v>6</v>
      </c>
      <c r="L37" s="448">
        <v>6</v>
      </c>
      <c r="M37" s="446" t="s">
        <v>18</v>
      </c>
      <c r="N37" s="180">
        <f t="shared" si="1"/>
        <v>13200000</v>
      </c>
      <c r="O37" s="419"/>
    </row>
    <row r="38" spans="1:18">
      <c r="A38" s="370"/>
      <c r="B38" s="370"/>
      <c r="C38" s="33"/>
      <c r="D38" s="446"/>
      <c r="E38" s="453" t="s">
        <v>261</v>
      </c>
      <c r="F38" s="279">
        <v>1200000</v>
      </c>
      <c r="G38" s="446" t="s">
        <v>7</v>
      </c>
      <c r="H38" s="446" t="s">
        <v>4</v>
      </c>
      <c r="I38" s="455">
        <v>0.25</v>
      </c>
      <c r="J38" s="446" t="s">
        <v>21</v>
      </c>
      <c r="K38" s="446" t="s">
        <v>6</v>
      </c>
      <c r="L38" s="448">
        <v>6</v>
      </c>
      <c r="M38" s="446" t="s">
        <v>18</v>
      </c>
      <c r="N38" s="180">
        <f t="shared" si="1"/>
        <v>1800000</v>
      </c>
      <c r="O38" s="419"/>
    </row>
    <row r="39" spans="1:18">
      <c r="A39" s="370"/>
      <c r="B39" s="370"/>
      <c r="C39" s="31"/>
      <c r="D39" s="446"/>
      <c r="E39" s="453" t="s">
        <v>261</v>
      </c>
      <c r="F39" s="279">
        <v>1200000</v>
      </c>
      <c r="G39" s="446" t="s">
        <v>7</v>
      </c>
      <c r="H39" s="446" t="s">
        <v>4</v>
      </c>
      <c r="I39" s="454">
        <v>0.5</v>
      </c>
      <c r="J39" s="446" t="s">
        <v>21</v>
      </c>
      <c r="K39" s="446" t="s">
        <v>6</v>
      </c>
      <c r="L39" s="448">
        <v>6</v>
      </c>
      <c r="M39" s="446" t="s">
        <v>18</v>
      </c>
      <c r="N39" s="193">
        <f t="shared" si="1"/>
        <v>3600000</v>
      </c>
      <c r="O39" s="419"/>
    </row>
    <row r="40" spans="1:18">
      <c r="A40" s="370"/>
      <c r="B40" s="370"/>
      <c r="C40" s="31"/>
      <c r="D40" s="446" t="s">
        <v>194</v>
      </c>
      <c r="E40" s="453" t="s">
        <v>20</v>
      </c>
      <c r="F40" s="279">
        <v>800000</v>
      </c>
      <c r="G40" s="446" t="s">
        <v>7</v>
      </c>
      <c r="H40" s="446" t="s">
        <v>4</v>
      </c>
      <c r="I40" s="279">
        <v>1</v>
      </c>
      <c r="J40" s="446" t="s">
        <v>12</v>
      </c>
      <c r="K40" s="446" t="s">
        <v>6</v>
      </c>
      <c r="L40" s="448">
        <v>0</v>
      </c>
      <c r="M40" s="446" t="s">
        <v>18</v>
      </c>
      <c r="N40" s="193">
        <f>F40*I40*L40</f>
        <v>0</v>
      </c>
      <c r="O40" s="419"/>
      <c r="P40" s="459" t="s">
        <v>1379</v>
      </c>
    </row>
    <row r="41" spans="1:18">
      <c r="A41" s="370"/>
      <c r="B41" s="370"/>
      <c r="C41" s="31"/>
      <c r="D41" s="446"/>
      <c r="E41" s="453" t="s">
        <v>20</v>
      </c>
      <c r="F41" s="279">
        <v>100000</v>
      </c>
      <c r="G41" s="446" t="s">
        <v>7</v>
      </c>
      <c r="H41" s="446" t="s">
        <v>4</v>
      </c>
      <c r="I41" s="279">
        <v>1</v>
      </c>
      <c r="J41" s="446" t="s">
        <v>12</v>
      </c>
      <c r="K41" s="446" t="s">
        <v>6</v>
      </c>
      <c r="L41" s="448">
        <v>0</v>
      </c>
      <c r="M41" s="446" t="s">
        <v>18</v>
      </c>
      <c r="N41" s="193">
        <f>F41*I41*L41</f>
        <v>0</v>
      </c>
      <c r="O41" s="419"/>
      <c r="P41" s="459" t="s">
        <v>1379</v>
      </c>
      <c r="Q41" s="459"/>
      <c r="R41" s="459"/>
    </row>
    <row r="42" spans="1:18">
      <c r="A42" s="370"/>
      <c r="B42" s="370"/>
      <c r="C42" s="33" t="s">
        <v>173</v>
      </c>
      <c r="D42" s="446" t="s">
        <v>196</v>
      </c>
      <c r="E42" s="453" t="s">
        <v>0</v>
      </c>
      <c r="F42" s="279">
        <v>10000</v>
      </c>
      <c r="G42" s="279" t="s">
        <v>7</v>
      </c>
      <c r="H42" s="279" t="s">
        <v>6</v>
      </c>
      <c r="I42" s="279">
        <v>20</v>
      </c>
      <c r="J42" s="279" t="s">
        <v>12</v>
      </c>
      <c r="K42" s="279" t="s">
        <v>6</v>
      </c>
      <c r="L42" s="448">
        <v>37</v>
      </c>
      <c r="M42" s="279" t="s">
        <v>9</v>
      </c>
      <c r="N42" s="193">
        <f>F42*I42*L42</f>
        <v>7400000</v>
      </c>
      <c r="O42" s="419"/>
    </row>
    <row r="43" spans="1:18">
      <c r="A43" s="370"/>
      <c r="B43" s="370"/>
      <c r="C43" s="33" t="s">
        <v>201</v>
      </c>
      <c r="D43" s="446" t="s">
        <v>202</v>
      </c>
      <c r="E43" s="456" t="s">
        <v>203</v>
      </c>
      <c r="F43" s="279">
        <v>10000</v>
      </c>
      <c r="G43" s="279" t="s">
        <v>7</v>
      </c>
      <c r="H43" s="279" t="s">
        <v>6</v>
      </c>
      <c r="I43" s="279">
        <v>3</v>
      </c>
      <c r="J43" s="279" t="s">
        <v>12</v>
      </c>
      <c r="K43" s="279" t="s">
        <v>6</v>
      </c>
      <c r="L43" s="448">
        <v>120</v>
      </c>
      <c r="M43" s="279" t="s">
        <v>9</v>
      </c>
      <c r="N43" s="193">
        <f>F43*I43*L43</f>
        <v>3600000</v>
      </c>
      <c r="O43" s="419"/>
    </row>
    <row r="44" spans="1:18" ht="28.8">
      <c r="A44" s="370"/>
      <c r="B44" s="370"/>
      <c r="C44" s="53" t="s">
        <v>171</v>
      </c>
      <c r="D44" s="446" t="s">
        <v>197</v>
      </c>
      <c r="E44" s="456" t="s">
        <v>262</v>
      </c>
      <c r="F44" s="279">
        <v>50000</v>
      </c>
      <c r="G44" s="279" t="s">
        <v>7</v>
      </c>
      <c r="H44" s="446" t="s">
        <v>4</v>
      </c>
      <c r="I44" s="279">
        <v>10</v>
      </c>
      <c r="J44" s="279" t="s">
        <v>12</v>
      </c>
      <c r="K44" s="446" t="s">
        <v>6</v>
      </c>
      <c r="L44" s="448">
        <v>6</v>
      </c>
      <c r="M44" s="279" t="s">
        <v>9</v>
      </c>
      <c r="N44" s="193">
        <f t="shared" ref="N44:N45" si="2">F44*I44*L44</f>
        <v>3000000</v>
      </c>
      <c r="O44" s="419"/>
    </row>
    <row r="45" spans="1:18">
      <c r="A45" s="370"/>
      <c r="B45" s="370"/>
      <c r="C45" s="54" t="s">
        <v>174</v>
      </c>
      <c r="D45" s="446" t="s">
        <v>108</v>
      </c>
      <c r="E45" s="456" t="s">
        <v>108</v>
      </c>
      <c r="F45" s="279">
        <v>1650000</v>
      </c>
      <c r="G45" s="279" t="s">
        <v>7</v>
      </c>
      <c r="H45" s="446" t="s">
        <v>4</v>
      </c>
      <c r="I45" s="279">
        <v>1</v>
      </c>
      <c r="J45" s="279" t="s">
        <v>22</v>
      </c>
      <c r="K45" s="446" t="s">
        <v>6</v>
      </c>
      <c r="L45" s="448">
        <v>1</v>
      </c>
      <c r="M45" s="279" t="s">
        <v>9</v>
      </c>
      <c r="N45" s="193">
        <f t="shared" si="2"/>
        <v>1650000</v>
      </c>
      <c r="O45" s="419"/>
    </row>
    <row r="46" spans="1:18">
      <c r="A46" s="370"/>
      <c r="B46" s="370"/>
      <c r="C46" s="33" t="s">
        <v>198</v>
      </c>
      <c r="D46" s="446" t="s">
        <v>199</v>
      </c>
      <c r="E46" s="456" t="s">
        <v>200</v>
      </c>
      <c r="F46" s="279">
        <v>200000</v>
      </c>
      <c r="G46" s="279" t="s">
        <v>7</v>
      </c>
      <c r="H46" s="279"/>
      <c r="I46" s="279"/>
      <c r="J46" s="279"/>
      <c r="K46" s="279" t="s">
        <v>6</v>
      </c>
      <c r="L46" s="448">
        <v>29</v>
      </c>
      <c r="M46" s="279" t="s">
        <v>9</v>
      </c>
      <c r="N46" s="193">
        <f>F46*L46</f>
        <v>5800000</v>
      </c>
      <c r="O46" s="419"/>
    </row>
    <row r="47" spans="1:18">
      <c r="A47" s="370"/>
      <c r="B47" s="418" t="s">
        <v>157</v>
      </c>
      <c r="C47" s="418"/>
      <c r="D47" s="418"/>
      <c r="E47" s="418"/>
      <c r="F47" s="418"/>
      <c r="G47" s="418"/>
      <c r="H47" s="418"/>
      <c r="I47" s="418"/>
      <c r="J47" s="418"/>
      <c r="K47" s="418"/>
      <c r="L47" s="418"/>
      <c r="M47" s="418"/>
      <c r="N47" s="235">
        <f>SUM(N34:N46)</f>
        <v>98850000</v>
      </c>
      <c r="O47" s="286"/>
    </row>
    <row r="48" spans="1:18">
      <c r="A48" s="409" t="s">
        <v>158</v>
      </c>
      <c r="B48" s="410"/>
      <c r="C48" s="410"/>
      <c r="D48" s="410"/>
      <c r="E48" s="410"/>
      <c r="F48" s="410"/>
      <c r="G48" s="410"/>
      <c r="H48" s="410"/>
      <c r="I48" s="410"/>
      <c r="J48" s="410"/>
      <c r="K48" s="410"/>
      <c r="L48" s="410"/>
      <c r="M48" s="411"/>
      <c r="N48" s="283">
        <f>N33+N47</f>
        <v>764300000</v>
      </c>
      <c r="O48" s="284"/>
    </row>
    <row r="49" spans="1:16">
      <c r="A49" s="369" t="s">
        <v>25</v>
      </c>
      <c r="B49" s="412" t="s">
        <v>25</v>
      </c>
      <c r="C49" s="33" t="s">
        <v>29</v>
      </c>
      <c r="D49" s="65" t="s">
        <v>30</v>
      </c>
      <c r="E49" s="75" t="s">
        <v>37</v>
      </c>
      <c r="F49" s="76"/>
      <c r="G49" s="75" t="s">
        <v>7</v>
      </c>
      <c r="H49" s="68" t="s">
        <v>6</v>
      </c>
      <c r="I49" s="75">
        <v>1</v>
      </c>
      <c r="J49" s="75" t="s">
        <v>12</v>
      </c>
      <c r="K49" s="68" t="s">
        <v>6</v>
      </c>
      <c r="L49" s="430">
        <v>8</v>
      </c>
      <c r="M49" s="75" t="s">
        <v>18</v>
      </c>
      <c r="N49" s="17">
        <f>F49*I49*L49</f>
        <v>0</v>
      </c>
      <c r="O49" s="383">
        <f>N55/N48</f>
        <v>4.6709407300798117E-2</v>
      </c>
    </row>
    <row r="50" spans="1:16">
      <c r="A50" s="369"/>
      <c r="B50" s="413"/>
      <c r="C50" s="20"/>
      <c r="D50" s="65"/>
      <c r="E50" s="75" t="s">
        <v>37</v>
      </c>
      <c r="F50" s="76"/>
      <c r="G50" s="75" t="s">
        <v>7</v>
      </c>
      <c r="H50" s="68" t="s">
        <v>6</v>
      </c>
      <c r="I50" s="75">
        <v>1</v>
      </c>
      <c r="J50" s="75" t="s">
        <v>12</v>
      </c>
      <c r="K50" s="68" t="s">
        <v>6</v>
      </c>
      <c r="L50" s="430">
        <v>8</v>
      </c>
      <c r="M50" s="75" t="s">
        <v>18</v>
      </c>
      <c r="N50" s="17">
        <f t="shared" ref="N50:N54" si="3">F50*I50*L50</f>
        <v>0</v>
      </c>
      <c r="O50" s="383"/>
    </row>
    <row r="51" spans="1:16">
      <c r="A51" s="369"/>
      <c r="B51" s="413"/>
      <c r="C51" s="33" t="s">
        <v>31</v>
      </c>
      <c r="D51" s="65" t="s">
        <v>263</v>
      </c>
      <c r="E51" s="75" t="s">
        <v>263</v>
      </c>
      <c r="F51" s="76">
        <v>5950000</v>
      </c>
      <c r="G51" s="75" t="s">
        <v>7</v>
      </c>
      <c r="H51" s="68" t="s">
        <v>6</v>
      </c>
      <c r="I51" s="75">
        <v>1</v>
      </c>
      <c r="J51" s="75" t="s">
        <v>22</v>
      </c>
      <c r="K51" s="68" t="s">
        <v>6</v>
      </c>
      <c r="L51" s="448">
        <v>6</v>
      </c>
      <c r="M51" s="75" t="s">
        <v>18</v>
      </c>
      <c r="N51" s="275">
        <f t="shared" si="3"/>
        <v>35700000</v>
      </c>
      <c r="O51" s="383"/>
      <c r="P51" s="459"/>
    </row>
    <row r="52" spans="1:16">
      <c r="A52" s="369"/>
      <c r="B52" s="413"/>
      <c r="C52" s="29" t="s">
        <v>35</v>
      </c>
      <c r="D52" s="65" t="s">
        <v>32</v>
      </c>
      <c r="E52" s="75" t="s">
        <v>38</v>
      </c>
      <c r="F52" s="76"/>
      <c r="G52" s="75" t="s">
        <v>7</v>
      </c>
      <c r="H52" s="68" t="s">
        <v>6</v>
      </c>
      <c r="I52" s="75">
        <v>2</v>
      </c>
      <c r="J52" s="75" t="s">
        <v>8</v>
      </c>
      <c r="K52" s="68" t="s">
        <v>6</v>
      </c>
      <c r="L52" s="430">
        <v>2</v>
      </c>
      <c r="M52" s="75" t="s">
        <v>9</v>
      </c>
      <c r="N52" s="17">
        <f t="shared" si="3"/>
        <v>0</v>
      </c>
      <c r="O52" s="383"/>
    </row>
    <row r="53" spans="1:16">
      <c r="A53" s="369"/>
      <c r="B53" s="413"/>
      <c r="C53" s="31"/>
      <c r="D53" s="65" t="s">
        <v>33</v>
      </c>
      <c r="E53" s="75" t="s">
        <v>39</v>
      </c>
      <c r="F53" s="76"/>
      <c r="G53" s="75" t="s">
        <v>7</v>
      </c>
      <c r="H53" s="68" t="s">
        <v>6</v>
      </c>
      <c r="I53" s="75">
        <v>2</v>
      </c>
      <c r="J53" s="75" t="s">
        <v>36</v>
      </c>
      <c r="K53" s="68" t="s">
        <v>6</v>
      </c>
      <c r="L53" s="430">
        <v>2</v>
      </c>
      <c r="M53" s="75" t="s">
        <v>9</v>
      </c>
      <c r="N53" s="17">
        <f t="shared" si="3"/>
        <v>0</v>
      </c>
      <c r="O53" s="383"/>
    </row>
    <row r="54" spans="1:16">
      <c r="A54" s="369"/>
      <c r="B54" s="414"/>
      <c r="C54" s="31"/>
      <c r="D54" s="65" t="s">
        <v>34</v>
      </c>
      <c r="E54" s="75" t="s">
        <v>40</v>
      </c>
      <c r="F54" s="76"/>
      <c r="G54" s="75" t="s">
        <v>7</v>
      </c>
      <c r="H54" s="68" t="s">
        <v>6</v>
      </c>
      <c r="I54" s="75">
        <v>3</v>
      </c>
      <c r="J54" s="75" t="s">
        <v>22</v>
      </c>
      <c r="K54" s="68" t="s">
        <v>6</v>
      </c>
      <c r="L54" s="430">
        <v>4</v>
      </c>
      <c r="M54" s="75" t="s">
        <v>18</v>
      </c>
      <c r="N54" s="17">
        <f t="shared" si="3"/>
        <v>0</v>
      </c>
      <c r="O54" s="383"/>
    </row>
    <row r="55" spans="1:16">
      <c r="A55" s="369"/>
      <c r="B55" s="415" t="s">
        <v>159</v>
      </c>
      <c r="C55" s="416"/>
      <c r="D55" s="416"/>
      <c r="E55" s="416"/>
      <c r="F55" s="416"/>
      <c r="G55" s="416"/>
      <c r="H55" s="416"/>
      <c r="I55" s="416"/>
      <c r="J55" s="416"/>
      <c r="K55" s="416"/>
      <c r="L55" s="416"/>
      <c r="M55" s="417"/>
      <c r="N55" s="5">
        <f>SUM(N49:N54)</f>
        <v>35700000</v>
      </c>
      <c r="O55" s="15"/>
    </row>
    <row r="56" spans="1:16" ht="44.4" customHeight="1">
      <c r="A56" s="371" t="s">
        <v>207</v>
      </c>
      <c r="B56" s="372"/>
      <c r="C56" s="372"/>
      <c r="D56" s="372"/>
      <c r="E56" s="372"/>
      <c r="F56" s="372"/>
      <c r="G56" s="372"/>
      <c r="H56" s="372"/>
      <c r="I56" s="372"/>
      <c r="J56" s="372"/>
      <c r="K56" s="372"/>
      <c r="L56" s="372"/>
      <c r="M56" s="372"/>
      <c r="N56" s="46">
        <f>N48+N55</f>
        <v>800000000</v>
      </c>
      <c r="O56" s="47"/>
    </row>
  </sheetData>
  <mergeCells count="21">
    <mergeCell ref="A48:M48"/>
    <mergeCell ref="A49:A55"/>
    <mergeCell ref="B49:B54"/>
    <mergeCell ref="O49:O54"/>
    <mergeCell ref="B55:M55"/>
    <mergeCell ref="A56:M56"/>
    <mergeCell ref="A5:A47"/>
    <mergeCell ref="B5:B32"/>
    <mergeCell ref="O5:O32"/>
    <mergeCell ref="B33:M33"/>
    <mergeCell ref="B34:B46"/>
    <mergeCell ref="O34:O46"/>
    <mergeCell ref="B47:M47"/>
    <mergeCell ref="A1:O1"/>
    <mergeCell ref="A3:A4"/>
    <mergeCell ref="B3:B4"/>
    <mergeCell ref="C3:C4"/>
    <mergeCell ref="D3:D4"/>
    <mergeCell ref="E3:M3"/>
    <mergeCell ref="N3:N4"/>
    <mergeCell ref="O3:O4"/>
  </mergeCells>
  <phoneticPr fontId="2" type="noConversion"/>
  <dataValidations count="1">
    <dataValidation type="list" allowBlank="1" showErrorMessage="1" errorTitle="유효하지 않은 값입니다." error="단위는 목록에서 선택해 주세요._x000a_직접 입력은 허용되지 않습니다." sqref="J6:J9" xr:uid="{897A5396-D5AB-4FE3-833E-DCFB76E11487}">
      <formula1>"명,건,대,세트,부,실,개,회,식"</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12</vt:i4>
      </vt:variant>
    </vt:vector>
  </HeadingPairs>
  <TitlesOfParts>
    <vt:vector size="27" baseType="lpstr">
      <vt:lpstr>(총괄)신청내역표</vt:lpstr>
      <vt:lpstr>(공통)_강사료 지급 기준 및 명단</vt:lpstr>
      <vt:lpstr>(공통)_교육 인프라 목록</vt:lpstr>
      <vt:lpstr>사업운영비 작성방법(작성x)</vt:lpstr>
      <vt:lpstr>사업관리비 및 간접비 작성방법(작성x)</vt:lpstr>
      <vt:lpstr>A프로그램</vt:lpstr>
      <vt:lpstr>B프로그램</vt:lpstr>
      <vt:lpstr>C프로그램</vt:lpstr>
      <vt:lpstr>D프로그램</vt:lpstr>
      <vt:lpstr>E프로그램</vt:lpstr>
      <vt:lpstr>F프로그램</vt:lpstr>
      <vt:lpstr>G프로그램</vt:lpstr>
      <vt:lpstr>총 사업비 산출</vt:lpstr>
      <vt:lpstr>8억기준</vt:lpstr>
      <vt:lpstr>8억기준_산단제출용</vt:lpstr>
      <vt:lpstr>'(공통)_교육 인프라 목록'!Print_Area</vt:lpstr>
      <vt:lpstr>'(총괄)신청내역표'!Print_Area</vt:lpstr>
      <vt:lpstr>A프로그램!Print_Area</vt:lpstr>
      <vt:lpstr>B프로그램!Print_Area</vt:lpstr>
      <vt:lpstr>C프로그램!Print_Area</vt:lpstr>
      <vt:lpstr>D프로그램!Print_Area</vt:lpstr>
      <vt:lpstr>E프로그램!Print_Area</vt:lpstr>
      <vt:lpstr>F프로그램!Print_Area</vt:lpstr>
      <vt:lpstr>G프로그램!Print_Area</vt:lpstr>
      <vt:lpstr>'사업관리비 및 간접비 작성방법(작성x)'!Print_Area</vt:lpstr>
      <vt:lpstr>'사업운영비 작성방법(작성x)'!Print_Area</vt:lpstr>
      <vt:lpstr>'총 사업비 산출'!Print_Area</vt:lpstr>
    </vt:vector>
  </TitlesOfParts>
  <Company>Customer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조성일</cp:lastModifiedBy>
  <cp:lastPrinted>2021-07-23T07:42:28Z</cp:lastPrinted>
  <dcterms:created xsi:type="dcterms:W3CDTF">2014-01-06T04:40:46Z</dcterms:created>
  <dcterms:modified xsi:type="dcterms:W3CDTF">2026-07-01T01:20:21Z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Z_DOC_UI_LASTSTATE">
    <vt:lpwstr>{}</vt:lpwstr>
  </property>
</Properties>
</file>