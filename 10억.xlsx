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ego\Desktop\"/>
    </mc:Choice>
  </mc:AlternateContent>
  <xr:revisionPtr revIDLastSave="0" documentId="8_{6A38C962-9AA4-401A-BFD8-5F618548B8B4}" xr6:coauthVersionLast="47" xr6:coauthVersionMax="47" xr10:uidLastSave="{00000000-0000-0000-0000-000000000000}"/>
  <bookViews>
    <workbookView xWindow="28692" yWindow="-108" windowWidth="29016" windowHeight="15696" xr2:uid="{27A2C53C-569C-449C-8607-AF8D1AF14D4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N54" i="1" l="1"/>
  <c r="N53" i="1"/>
  <c r="N52" i="1"/>
  <c r="N51" i="1"/>
  <c r="N50" i="1"/>
  <c r="N49" i="1"/>
  <c r="N55" i="1" s="1"/>
  <c r="N46" i="1"/>
  <c r="N45" i="1"/>
  <c r="N44" i="1"/>
  <c r="N43" i="1"/>
  <c r="N42" i="1"/>
  <c r="N41" i="1"/>
  <c r="N47" i="1" s="1"/>
  <c r="N40" i="1"/>
  <c r="N39" i="1"/>
  <c r="N38" i="1"/>
  <c r="N37" i="1"/>
  <c r="N36" i="1"/>
  <c r="N35" i="1"/>
  <c r="N34" i="1"/>
  <c r="N32" i="1"/>
  <c r="N31" i="1"/>
  <c r="N30" i="1"/>
  <c r="N29" i="1"/>
  <c r="N28" i="1"/>
  <c r="N27" i="1"/>
  <c r="N26" i="1"/>
  <c r="N25" i="1"/>
  <c r="N24" i="1"/>
  <c r="N23" i="1"/>
  <c r="N22" i="1"/>
  <c r="N21" i="1"/>
  <c r="N20" i="1"/>
  <c r="N19" i="1"/>
  <c r="N18" i="1"/>
  <c r="N17" i="1"/>
  <c r="N16" i="1"/>
  <c r="N15" i="1"/>
  <c r="N14" i="1"/>
  <c r="N13" i="1"/>
  <c r="N12" i="1"/>
  <c r="N11" i="1"/>
  <c r="N10" i="1"/>
  <c r="N33" i="1" s="1"/>
  <c r="N9" i="1"/>
  <c r="N8" i="1"/>
  <c r="N7" i="1"/>
  <c r="N6" i="1"/>
  <c r="N5" i="1"/>
  <c r="N48" i="1" l="1"/>
  <c r="N56" i="1" s="1"/>
  <c r="O49" i="1"/>
  <c r="O5" i="1" l="1"/>
  <c r="O34" i="1"/>
</calcChain>
</file>

<file path=xl/sharedStrings.xml><?xml version="1.0" encoding="utf-8"?>
<sst xmlns="http://schemas.openxmlformats.org/spreadsheetml/2006/main" count="347" uniqueCount="119">
  <si>
    <t xml:space="preserve">총 사업비 산출내역서   </t>
    <phoneticPr fontId="3" type="noConversion"/>
  </si>
  <si>
    <t>비목</t>
    <phoneticPr fontId="5" type="noConversion"/>
  </si>
  <si>
    <t>세목</t>
    <phoneticPr fontId="3" type="noConversion"/>
  </si>
  <si>
    <t>세세목</t>
    <phoneticPr fontId="3" type="noConversion"/>
  </si>
  <si>
    <t>관리목</t>
    <phoneticPr fontId="3" type="noConversion"/>
  </si>
  <si>
    <t>산출내역</t>
    <phoneticPr fontId="5" type="noConversion"/>
  </si>
  <si>
    <t>금액</t>
    <phoneticPr fontId="5" type="noConversion"/>
  </si>
  <si>
    <t>구성비</t>
    <phoneticPr fontId="5" type="noConversion"/>
  </si>
  <si>
    <t>품명</t>
    <phoneticPr fontId="3" type="noConversion"/>
  </si>
  <si>
    <t>금액(공급가액)</t>
    <phoneticPr fontId="3" type="noConversion"/>
  </si>
  <si>
    <t>단위</t>
    <phoneticPr fontId="3" type="noConversion"/>
  </si>
  <si>
    <t>x</t>
    <phoneticPr fontId="3" type="noConversion"/>
  </si>
  <si>
    <t>수량</t>
    <phoneticPr fontId="3" type="noConversion"/>
  </si>
  <si>
    <t>횟수</t>
    <phoneticPr fontId="3" type="noConversion"/>
  </si>
  <si>
    <t>직접비</t>
    <phoneticPr fontId="5" type="noConversion"/>
  </si>
  <si>
    <t>사업운영비</t>
    <phoneticPr fontId="3" type="noConversion"/>
  </si>
  <si>
    <t>■ 시설·장비 임차비</t>
    <phoneticPr fontId="5" type="noConversion"/>
  </si>
  <si>
    <t>장비임차</t>
  </si>
  <si>
    <t>노트북</t>
  </si>
  <si>
    <t>원</t>
    <phoneticPr fontId="3" type="noConversion"/>
  </si>
  <si>
    <t>×</t>
  </si>
  <si>
    <t>대</t>
    <phoneticPr fontId="3" type="noConversion"/>
  </si>
  <si>
    <t>개월</t>
    <phoneticPr fontId="3" type="noConversion"/>
  </si>
  <si>
    <t xml:space="preserve">노트북 1일 대여 62대 * 8개월 </t>
  </si>
  <si>
    <t>ZOOM 1.7</t>
    <phoneticPr fontId="10" type="noConversion"/>
  </si>
  <si>
    <t>대</t>
  </si>
  <si>
    <t>회</t>
    <phoneticPr fontId="3" type="noConversion"/>
  </si>
  <si>
    <t>1. 서울,인천 및 전국 단위의 강사 교육 / 비대면 교육/ 보조 강사 수업 전 컨설팅, 안전 요원 교육 시에 활용
 2. 여름철 태풍이나 비상시 비대면 교육 전환시 활용__1개/8개월, 7개/4개월 사용</t>
    <phoneticPr fontId="3" type="noConversion"/>
  </si>
  <si>
    <t>Gemini, ChatGPT 6.7</t>
    <phoneticPr fontId="10" type="noConversion"/>
  </si>
  <si>
    <t>개</t>
  </si>
  <si>
    <t>1. 서울,인천 및 전국단위의 강사교육/비대면교육/보조강사 수업전 컨설팅, 안전요원 교육 시에 활용
 2. 여름철 태풍이나 비상시 비대면 교육 전환 시 활용__ 월간 구독료 *4개월</t>
    <phoneticPr fontId="3" type="noConversion"/>
  </si>
  <si>
    <t>클로드6.7</t>
    <phoneticPr fontId="10" type="noConversion"/>
  </si>
  <si>
    <t>고등학생 프로그램(피지컬 AI 어필리케이션 제작자)의 강사 교육 및 교육 준비 상황에서 강사와 강사 교육 전문가에게 활용_월간 구독료 *4개월</t>
  </si>
  <si>
    <t>캔바5</t>
    <phoneticPr fontId="10" type="noConversion"/>
  </si>
  <si>
    <t>학생들의 수업 시간에 배운 내용의 결과물 시각화 제작) 청소년 센터,도서관 교육 시 활용_ 월간 구독료 *1개월</t>
  </si>
  <si>
    <t>■ 재료구입비</t>
    <phoneticPr fontId="5" type="noConversion"/>
  </si>
  <si>
    <t>교구 구매
(교구, 범용성)</t>
    <phoneticPr fontId="3" type="noConversion"/>
  </si>
  <si>
    <t>무선 카메라</t>
  </si>
  <si>
    <t>개</t>
    <phoneticPr fontId="3" type="noConversion"/>
  </si>
  <si>
    <t>오토바이, 
주행코스, 배터리</t>
  </si>
  <si>
    <t>리치보드, 
디스플레이류(4종)</t>
  </si>
  <si>
    <t>캐터필러, 무선캠, 집게, 배터리</t>
  </si>
  <si>
    <t>리치보드, 
센서류(5종)</t>
  </si>
  <si>
    <t>더듬이 자동차 + 배터리</t>
  </si>
  <si>
    <t>ESP32세트 + 클로드</t>
  </si>
  <si>
    <t>교구 구매(일회성)</t>
  </si>
  <si>
    <t>창산용 문구류</t>
  </si>
  <si>
    <t>■ 인쇄·복사·인화·
슬라이드 제작비</t>
    <phoneticPr fontId="5" type="noConversion"/>
  </si>
  <si>
    <t>부</t>
    <phoneticPr fontId="3" type="noConversion"/>
  </si>
  <si>
    <t>■ 외부 전문가 기술 활용비</t>
    <phoneticPr fontId="5" type="noConversion"/>
  </si>
  <si>
    <t>강사료</t>
    <phoneticPr fontId="3" type="noConversion"/>
  </si>
  <si>
    <t>주강사료</t>
    <phoneticPr fontId="3" type="noConversion"/>
  </si>
  <si>
    <t>인</t>
  </si>
  <si>
    <t>보조강사료</t>
    <phoneticPr fontId="3" type="noConversion"/>
  </si>
  <si>
    <t>인</t>
    <phoneticPr fontId="3" type="noConversion"/>
  </si>
  <si>
    <t>외부전문가 활용</t>
    <phoneticPr fontId="3" type="noConversion"/>
  </si>
  <si>
    <t>자문 및 강사교육용 강사료</t>
    <phoneticPr fontId="3" type="noConversion"/>
  </si>
  <si>
    <t>외부전문가 활용</t>
  </si>
  <si>
    <t>교육 프로그램 고도화</t>
    <phoneticPr fontId="3" type="noConversion"/>
  </si>
  <si>
    <t>교통비</t>
  </si>
  <si>
    <t>■ 일용직활용비</t>
    <phoneticPr fontId="5" type="noConversion"/>
  </si>
  <si>
    <t>단기근로자 활용</t>
    <phoneticPr fontId="3" type="noConversion"/>
  </si>
  <si>
    <t>안전관리요원</t>
  </si>
  <si>
    <t>진행요원</t>
  </si>
  <si>
    <t>■ 회의비</t>
    <phoneticPr fontId="5" type="noConversion"/>
  </si>
  <si>
    <t>행사 식다과비</t>
  </si>
  <si>
    <t>성과공유회, 
강사교육 식비/임차료</t>
    <phoneticPr fontId="3" type="noConversion"/>
  </si>
  <si>
    <t>교육생 식다과비</t>
  </si>
  <si>
    <t>강사. 학생 식비, 다과비</t>
    <phoneticPr fontId="3" type="noConversion"/>
  </si>
  <si>
    <t>■ 제세공과·수수료·공공요금</t>
    <phoneticPr fontId="5" type="noConversion"/>
  </si>
  <si>
    <t>보험료</t>
  </si>
  <si>
    <t>■ 우편요금·택배비</t>
    <phoneticPr fontId="5" type="noConversion"/>
  </si>
  <si>
    <t>운송 비용</t>
  </si>
  <si>
    <t>택배비(교구, 노트북 등)</t>
  </si>
  <si>
    <t>반</t>
  </si>
  <si>
    <t>■ 기타 경비</t>
    <phoneticPr fontId="5" type="noConversion"/>
  </si>
  <si>
    <t>사업운영비 소계(1)</t>
    <phoneticPr fontId="5" type="noConversion"/>
  </si>
  <si>
    <t>사업관리비</t>
    <phoneticPr fontId="3" type="noConversion"/>
  </si>
  <si>
    <t>■ 내부 인건비</t>
    <phoneticPr fontId="5" type="noConversion"/>
  </si>
  <si>
    <t>참여 인력 인건비</t>
    <phoneticPr fontId="3" type="noConversion"/>
  </si>
  <si>
    <t>행정연구원(강혜영)</t>
  </si>
  <si>
    <t>(참여율)</t>
    <phoneticPr fontId="3" type="noConversion"/>
  </si>
  <si>
    <t>행정연구원(이상원)</t>
  </si>
  <si>
    <t>회의비 5월분(200만원)</t>
    <phoneticPr fontId="3" type="noConversion"/>
  </si>
  <si>
    <t>학생연구원(정의손)</t>
  </si>
  <si>
    <t>학생연구원(김현일)</t>
  </si>
  <si>
    <t>보조연구원(학부)</t>
  </si>
  <si>
    <t>참여 인력 사업 수당</t>
    <phoneticPr fontId="3" type="noConversion"/>
  </si>
  <si>
    <t>미지급인력</t>
    <phoneticPr fontId="3" type="noConversion"/>
  </si>
  <si>
    <t>회의 식·다과비</t>
    <phoneticPr fontId="3" type="noConversion"/>
  </si>
  <si>
    <t>회의비</t>
    <phoneticPr fontId="3" type="noConversion"/>
  </si>
  <si>
    <t>■ 출장비</t>
    <phoneticPr fontId="5" type="noConversion"/>
  </si>
  <si>
    <t>국내 출장 여비</t>
    <phoneticPr fontId="3" type="noConversion"/>
  </si>
  <si>
    <t>현장 운영 출장</t>
    <phoneticPr fontId="3" type="noConversion"/>
  </si>
  <si>
    <t xml:space="preserve">홍보물 인쇄·제작 </t>
    <phoneticPr fontId="3" type="noConversion"/>
  </si>
  <si>
    <t>현수막, 리플렛</t>
  </si>
  <si>
    <t>정산수수료</t>
    <phoneticPr fontId="3" type="noConversion"/>
  </si>
  <si>
    <t>건</t>
    <phoneticPr fontId="3" type="noConversion"/>
  </si>
  <si>
    <t>■ 사무용품비</t>
    <phoneticPr fontId="5" type="noConversion"/>
  </si>
  <si>
    <t>사무용품</t>
    <phoneticPr fontId="3" type="noConversion"/>
  </si>
  <si>
    <t>문구류</t>
    <phoneticPr fontId="3" type="noConversion"/>
  </si>
  <si>
    <t>사업관리비 소계(2)</t>
    <phoneticPr fontId="5" type="noConversion"/>
  </si>
  <si>
    <r>
      <t>직접비</t>
    </r>
    <r>
      <rPr>
        <b/>
        <sz val="11"/>
        <color indexed="12"/>
        <rFont val="굴림"/>
        <family val="3"/>
        <charset val="129"/>
      </rPr>
      <t xml:space="preserve"> 소계(3)</t>
    </r>
    <phoneticPr fontId="5" type="noConversion"/>
  </si>
  <si>
    <t>간접비</t>
    <phoneticPr fontId="5" type="noConversion"/>
  </si>
  <si>
    <t>■ 지원인력 인건비</t>
    <phoneticPr fontId="5" type="noConversion"/>
  </si>
  <si>
    <t>지원인력 인건비</t>
    <phoneticPr fontId="3" type="noConversion"/>
  </si>
  <si>
    <t>지원인력 A</t>
    <phoneticPr fontId="3" type="noConversion"/>
  </si>
  <si>
    <t>■ 기관 공통경비</t>
    <phoneticPr fontId="5" type="noConversion"/>
  </si>
  <si>
    <t>기관공통비</t>
  </si>
  <si>
    <t>■ 장비·시설 구축 및 운영비</t>
    <phoneticPr fontId="5" type="noConversion"/>
  </si>
  <si>
    <t>장비 구축비</t>
    <phoneticPr fontId="3" type="noConversion"/>
  </si>
  <si>
    <t>보관함(서랍)</t>
    <phoneticPr fontId="3" type="noConversion"/>
  </si>
  <si>
    <t>비품 구입</t>
    <phoneticPr fontId="3" type="noConversion"/>
  </si>
  <si>
    <t>A4용지(세트)</t>
    <phoneticPr fontId="3" type="noConversion"/>
  </si>
  <si>
    <t>세트</t>
    <phoneticPr fontId="3" type="noConversion"/>
  </si>
  <si>
    <t>공공요금</t>
    <phoneticPr fontId="3" type="noConversion"/>
  </si>
  <si>
    <t>수도, 전기료 등 요금</t>
    <phoneticPr fontId="3" type="noConversion"/>
  </si>
  <si>
    <t>간접비 소계(4)</t>
    <phoneticPr fontId="5" type="noConversion"/>
  </si>
  <si>
    <t>총계 (5)=(3)+(4)</t>
    <phoneticPr fontId="2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</si>
</sst>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2" formatCode="_-&quot;₩&quot;* #,##0_-;\-&quot;₩&quot;* #,##0_-;_-&quot;₩&quot;* &quot;-&quot;_-;_-@_-"/>
    <numFmt numFmtId="41" formatCode="_-* #,##0_-;\-* #,##0_-;_-* &quot;-&quot;_-;_-@_-"/>
    <numFmt numFmtId="176" formatCode="0.0%"/>
    <numFmt numFmtId="177" formatCode="_ &quot;₩&quot;* #,##0_ ;_ &quot;₩&quot;* \-#,##0_ ;_ &quot;₩&quot;* &quot;-&quot;_ ;_ @_ "/>
    <numFmt numFmtId="178" formatCode="#,##0_);[Red]\(#,##0\)"/>
    <numFmt numFmtId="179" formatCode="#,##0_ "/>
    <numFmt numFmtId="180" formatCode="_-* #,##0.0_-;\-* #,##0.0_-;_-* &quot;-&quot;_-;_-@_-"/>
    <numFmt numFmtId="181" formatCode="_-* #,##0.00_-;\-* #,##0.00_-;_-* &quot;-&quot;_-;_-@_-"/>
  </numFmts>
  <fonts count="21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26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1"/>
      <name val="굴림"/>
      <family val="3"/>
      <charset val="129"/>
    </font>
    <font>
      <sz val="8"/>
      <name val="바탕"/>
      <family val="1"/>
      <charset val="129"/>
    </font>
    <font>
      <sz val="11"/>
      <name val="굴림"/>
      <family val="3"/>
      <charset val="129"/>
    </font>
    <font>
      <i/>
      <sz val="11"/>
      <name val="굴림"/>
      <family val="3"/>
      <charset val="129"/>
    </font>
    <font>
      <sz val="11"/>
      <color theme="3" tint="0.59999389629810485"/>
      <name val="맑은 고딕"/>
      <family val="2"/>
      <charset val="129"/>
      <scheme val="minor"/>
    </font>
    <font>
      <sz val="11"/>
      <color indexed="8"/>
      <name val="굴림"/>
      <family val="3"/>
      <charset val="129"/>
    </font>
    <font>
      <sz val="8"/>
      <name val="맑은 고딕"/>
      <family val="3"/>
      <charset val="129"/>
      <scheme val="minor"/>
    </font>
    <font>
      <sz val="12"/>
      <name val="바탕체"/>
      <family val="1"/>
      <charset val="129"/>
    </font>
    <font>
      <b/>
      <sz val="11"/>
      <color theme="0" tint="-0.14999847407452621"/>
      <name val="굴림"/>
      <family val="3"/>
      <charset val="129"/>
    </font>
    <font>
      <sz val="11"/>
      <color theme="0" tint="-0.14999847407452621"/>
      <name val="굴림"/>
      <family val="3"/>
      <charset val="129"/>
    </font>
    <font>
      <sz val="11"/>
      <color theme="1"/>
      <name val="굴림"/>
      <family val="3"/>
      <charset val="129"/>
    </font>
    <font>
      <b/>
      <sz val="11"/>
      <color rgb="FF0000FF"/>
      <name val="굴림"/>
      <family val="3"/>
      <charset val="129"/>
    </font>
    <font>
      <i/>
      <sz val="11"/>
      <color theme="0" tint="-0.34998626667073579"/>
      <name val="굴림"/>
      <family val="3"/>
      <charset val="129"/>
    </font>
    <font>
      <i/>
      <sz val="11"/>
      <color theme="1"/>
      <name val="굴림"/>
      <family val="3"/>
      <charset val="129"/>
    </font>
    <font>
      <b/>
      <sz val="11"/>
      <color indexed="12"/>
      <name val="굴림"/>
      <family val="3"/>
      <charset val="129"/>
    </font>
    <font>
      <b/>
      <sz val="11"/>
      <color theme="1"/>
      <name val="굴림"/>
      <family val="3"/>
      <charset val="129"/>
    </font>
    <font>
      <sz val="8"/>
      <name val="바탕체"/>
      <family val="1"/>
      <charset val="129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CC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 diagonalUp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 diagonalUp="1">
      <left style="thin">
        <color indexed="64"/>
      </left>
      <right style="medium">
        <color indexed="64"/>
      </right>
      <top/>
      <bottom style="thin">
        <color indexed="64"/>
      </bottom>
      <diagonal style="thin">
        <color indexed="64"/>
      </diagonal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 diagonalUp="1"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</borders>
  <cellStyleXfs count="5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1" fillId="0" borderId="0" applyFont="0" applyFill="0" applyBorder="0" applyAlignment="0" applyProtection="0"/>
  </cellStyleXfs>
  <cellXfs count="89">
    <xf numFmtId="0" fontId="0" fillId="0" borderId="0" xfId="0">
      <alignment vertical="center"/>
    </xf>
    <xf numFmtId="41" fontId="0" fillId="2" borderId="0" xfId="1" applyFont="1" applyFill="1">
      <alignment vertical="center"/>
    </xf>
    <xf numFmtId="42" fontId="4" fillId="3" borderId="6" xfId="2" applyFont="1" applyFill="1" applyBorder="1" applyAlignment="1">
      <alignment horizontal="center" vertical="center"/>
    </xf>
    <xf numFmtId="0" fontId="4" fillId="0" borderId="4" xfId="0" applyFont="1" applyBorder="1">
      <alignment vertical="center"/>
    </xf>
    <xf numFmtId="0" fontId="6" fillId="0" borderId="4" xfId="0" applyFont="1" applyBorder="1" applyAlignment="1">
      <alignment horizontal="center" vertical="center"/>
    </xf>
    <xf numFmtId="41" fontId="6" fillId="0" borderId="4" xfId="1" applyFont="1" applyFill="1" applyBorder="1" applyAlignment="1">
      <alignment horizontal="center" vertical="center"/>
    </xf>
    <xf numFmtId="0" fontId="6" fillId="4" borderId="4" xfId="0" applyFont="1" applyFill="1" applyBorder="1" applyAlignment="1">
      <alignment horizontal="center" vertical="center"/>
    </xf>
    <xf numFmtId="41" fontId="6" fillId="2" borderId="4" xfId="0" applyNumberFormat="1" applyFont="1" applyFill="1" applyBorder="1">
      <alignment vertical="center"/>
    </xf>
    <xf numFmtId="41" fontId="0" fillId="2" borderId="4" xfId="1" applyFont="1" applyFill="1" applyBorder="1">
      <alignment vertical="center"/>
    </xf>
    <xf numFmtId="0" fontId="8" fillId="0" borderId="0" xfId="0" applyFont="1">
      <alignment vertical="center"/>
    </xf>
    <xf numFmtId="0" fontId="9" fillId="0" borderId="4" xfId="0" applyFont="1" applyBorder="1" applyAlignment="1">
      <alignment horizontal="center" vertical="center"/>
    </xf>
    <xf numFmtId="3" fontId="9" fillId="0" borderId="4" xfId="0" applyNumberFormat="1" applyFont="1" applyBorder="1" applyAlignment="1"/>
    <xf numFmtId="0" fontId="9" fillId="0" borderId="4" xfId="0" applyFont="1" applyBorder="1">
      <alignment vertical="center"/>
    </xf>
    <xf numFmtId="0" fontId="9" fillId="2" borderId="4" xfId="0" applyFont="1" applyFill="1" applyBorder="1" applyAlignment="1">
      <alignment horizontal="center"/>
    </xf>
    <xf numFmtId="41" fontId="0" fillId="2" borderId="4" xfId="1" applyFont="1" applyFill="1" applyBorder="1" applyAlignment="1">
      <alignment vertical="top" wrapText="1"/>
    </xf>
    <xf numFmtId="41" fontId="0" fillId="2" borderId="4" xfId="1" applyFont="1" applyFill="1" applyBorder="1" applyAlignment="1">
      <alignment vertical="center" wrapText="1"/>
    </xf>
    <xf numFmtId="0" fontId="6" fillId="4" borderId="4" xfId="0" applyFont="1" applyFill="1" applyBorder="1">
      <alignment vertical="center"/>
    </xf>
    <xf numFmtId="0" fontId="6" fillId="4" borderId="4" xfId="0" applyFont="1" applyFill="1" applyBorder="1" applyAlignment="1">
      <alignment horizontal="center" vertical="center" wrapText="1"/>
    </xf>
    <xf numFmtId="178" fontId="6" fillId="0" borderId="4" xfId="4" applyNumberFormat="1" applyFont="1" applyFill="1" applyBorder="1" applyAlignment="1">
      <alignment horizontal="center" vertical="center"/>
    </xf>
    <xf numFmtId="41" fontId="6" fillId="4" borderId="4" xfId="1" applyFont="1" applyFill="1" applyBorder="1" applyAlignment="1">
      <alignment horizontal="center" vertical="center"/>
    </xf>
    <xf numFmtId="41" fontId="8" fillId="2" borderId="4" xfId="1" applyFont="1" applyFill="1" applyBorder="1">
      <alignment vertical="center"/>
    </xf>
    <xf numFmtId="178" fontId="6" fillId="0" borderId="4" xfId="4" applyNumberFormat="1" applyFont="1" applyFill="1" applyBorder="1" applyAlignment="1">
      <alignment horizontal="center" vertical="center" wrapText="1"/>
    </xf>
    <xf numFmtId="0" fontId="4" fillId="4" borderId="4" xfId="0" applyFont="1" applyFill="1" applyBorder="1">
      <alignment vertical="center"/>
    </xf>
    <xf numFmtId="0" fontId="12" fillId="2" borderId="4" xfId="0" applyFont="1" applyFill="1" applyBorder="1" applyAlignment="1">
      <alignment vertical="center" wrapText="1"/>
    </xf>
    <xf numFmtId="0" fontId="13" fillId="2" borderId="4" xfId="0" applyFont="1" applyFill="1" applyBorder="1" applyAlignment="1">
      <alignment horizontal="center" vertical="center"/>
    </xf>
    <xf numFmtId="178" fontId="13" fillId="2" borderId="4" xfId="4" applyNumberFormat="1" applyFont="1" applyFill="1" applyBorder="1" applyAlignment="1">
      <alignment horizontal="center" vertical="center"/>
    </xf>
    <xf numFmtId="41" fontId="13" fillId="2" borderId="4" xfId="1" applyFont="1" applyFill="1" applyBorder="1" applyAlignment="1">
      <alignment horizontal="center" vertical="center"/>
    </xf>
    <xf numFmtId="41" fontId="13" fillId="2" borderId="4" xfId="0" applyNumberFormat="1" applyFont="1" applyFill="1" applyBorder="1">
      <alignment vertical="center"/>
    </xf>
    <xf numFmtId="0" fontId="4" fillId="4" borderId="4" xfId="0" applyFont="1" applyFill="1" applyBorder="1" applyAlignment="1">
      <alignment vertical="center" wrapText="1"/>
    </xf>
    <xf numFmtId="41" fontId="6" fillId="2" borderId="4" xfId="1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179" fontId="6" fillId="2" borderId="4" xfId="0" applyNumberFormat="1" applyFont="1" applyFill="1" applyBorder="1" applyAlignment="1">
      <alignment horizontal="center" vertical="center"/>
    </xf>
    <xf numFmtId="0" fontId="14" fillId="4" borderId="4" xfId="0" applyFont="1" applyFill="1" applyBorder="1" applyAlignment="1">
      <alignment horizontal="center" vertical="center"/>
    </xf>
    <xf numFmtId="178" fontId="14" fillId="0" borderId="4" xfId="4" applyNumberFormat="1" applyFont="1" applyFill="1" applyBorder="1" applyAlignment="1">
      <alignment horizontal="center" vertical="center" wrapText="1"/>
    </xf>
    <xf numFmtId="41" fontId="14" fillId="0" borderId="4" xfId="1" applyFont="1" applyFill="1" applyBorder="1" applyAlignment="1">
      <alignment horizontal="center" vertical="center"/>
    </xf>
    <xf numFmtId="41" fontId="14" fillId="4" borderId="4" xfId="1" applyFont="1" applyFill="1" applyBorder="1" applyAlignment="1">
      <alignment horizontal="center" vertical="center"/>
    </xf>
    <xf numFmtId="41" fontId="14" fillId="2" borderId="4" xfId="0" applyNumberFormat="1" applyFont="1" applyFill="1" applyBorder="1">
      <alignment vertical="center"/>
    </xf>
    <xf numFmtId="0" fontId="4" fillId="4" borderId="4" xfId="0" applyFont="1" applyFill="1" applyBorder="1" applyAlignment="1">
      <alignment horizontal="center" vertical="center"/>
    </xf>
    <xf numFmtId="179" fontId="14" fillId="4" borderId="4" xfId="0" applyNumberFormat="1" applyFont="1" applyFill="1" applyBorder="1" applyAlignment="1">
      <alignment horizontal="center" vertical="center"/>
    </xf>
    <xf numFmtId="41" fontId="14" fillId="2" borderId="4" xfId="1" applyFont="1" applyFill="1" applyBorder="1" applyAlignment="1">
      <alignment horizontal="center" vertical="center"/>
    </xf>
    <xf numFmtId="3" fontId="14" fillId="4" borderId="4" xfId="0" applyNumberFormat="1" applyFont="1" applyFill="1" applyBorder="1" applyAlignment="1">
      <alignment horizontal="center" vertical="center"/>
    </xf>
    <xf numFmtId="178" fontId="14" fillId="0" borderId="4" xfId="4" applyNumberFormat="1" applyFont="1" applyFill="1" applyBorder="1" applyAlignment="1">
      <alignment horizontal="center" vertical="center"/>
    </xf>
    <xf numFmtId="41" fontId="14" fillId="0" borderId="4" xfId="0" applyNumberFormat="1" applyFont="1" applyBorder="1">
      <alignment vertical="center"/>
    </xf>
    <xf numFmtId="41" fontId="14" fillId="5" borderId="4" xfId="0" applyNumberFormat="1" applyFont="1" applyFill="1" applyBorder="1">
      <alignment vertical="center"/>
    </xf>
    <xf numFmtId="176" fontId="16" fillId="5" borderId="8" xfId="3" applyNumberFormat="1" applyFont="1" applyFill="1" applyBorder="1" applyAlignment="1">
      <alignment horizontal="center" vertical="center"/>
    </xf>
    <xf numFmtId="180" fontId="14" fillId="4" borderId="4" xfId="1" applyNumberFormat="1" applyFont="1" applyFill="1" applyBorder="1" applyAlignment="1">
      <alignment horizontal="center" vertical="center"/>
    </xf>
    <xf numFmtId="181" fontId="14" fillId="4" borderId="4" xfId="1" applyNumberFormat="1" applyFont="1" applyFill="1" applyBorder="1" applyAlignment="1">
      <alignment horizontal="center" vertical="center"/>
    </xf>
    <xf numFmtId="0" fontId="4" fillId="0" borderId="4" xfId="0" applyFont="1" applyBorder="1" applyAlignment="1">
      <alignment vertical="center" wrapText="1"/>
    </xf>
    <xf numFmtId="176" fontId="17" fillId="5" borderId="8" xfId="3" applyNumberFormat="1" applyFont="1" applyFill="1" applyBorder="1" applyAlignment="1">
      <alignment horizontal="center" vertical="center"/>
    </xf>
    <xf numFmtId="3" fontId="15" fillId="5" borderId="12" xfId="0" applyNumberFormat="1" applyFont="1" applyFill="1" applyBorder="1">
      <alignment vertical="center"/>
    </xf>
    <xf numFmtId="176" fontId="19" fillId="5" borderId="13" xfId="3" applyNumberFormat="1" applyFont="1" applyFill="1" applyBorder="1" applyAlignment="1">
      <alignment horizontal="center" vertical="center"/>
    </xf>
    <xf numFmtId="41" fontId="14" fillId="0" borderId="4" xfId="1" applyFont="1" applyBorder="1" applyAlignment="1">
      <alignment horizontal="center" vertical="center"/>
    </xf>
    <xf numFmtId="41" fontId="14" fillId="0" borderId="4" xfId="1" applyFont="1" applyBorder="1">
      <alignment vertical="center"/>
    </xf>
    <xf numFmtId="41" fontId="16" fillId="0" borderId="4" xfId="1" applyFont="1" applyFill="1" applyBorder="1" applyAlignment="1">
      <alignment vertical="center"/>
    </xf>
    <xf numFmtId="0" fontId="0" fillId="0" borderId="4" xfId="0" applyBorder="1">
      <alignment vertical="center"/>
    </xf>
    <xf numFmtId="41" fontId="6" fillId="2" borderId="4" xfId="1" applyFont="1" applyFill="1" applyBorder="1" applyAlignment="1">
      <alignment vertical="center"/>
    </xf>
    <xf numFmtId="3" fontId="15" fillId="5" borderId="4" xfId="0" applyNumberFormat="1" applyFont="1" applyFill="1" applyBorder="1">
      <alignment vertical="center"/>
    </xf>
    <xf numFmtId="176" fontId="15" fillId="5" borderId="20" xfId="3" applyNumberFormat="1" applyFont="1" applyFill="1" applyBorder="1" applyAlignment="1">
      <alignment horizontal="center" vertical="center"/>
    </xf>
    <xf numFmtId="3" fontId="15" fillId="3" borderId="4" xfId="0" applyNumberFormat="1" applyFont="1" applyFill="1" applyBorder="1">
      <alignment vertical="center"/>
    </xf>
    <xf numFmtId="176" fontId="15" fillId="3" borderId="20" xfId="3" applyNumberFormat="1" applyFont="1" applyFill="1" applyBorder="1" applyAlignment="1">
      <alignment horizontal="center" vertical="center"/>
    </xf>
    <xf numFmtId="0" fontId="15" fillId="5" borderId="9" xfId="0" applyFont="1" applyFill="1" applyBorder="1" applyAlignment="1">
      <alignment horizontal="center" vertical="center"/>
    </xf>
    <xf numFmtId="0" fontId="15" fillId="5" borderId="10" xfId="0" applyFont="1" applyFill="1" applyBorder="1" applyAlignment="1">
      <alignment horizontal="center" vertical="center"/>
    </xf>
    <xf numFmtId="0" fontId="15" fillId="5" borderId="11" xfId="0" applyFont="1" applyFill="1" applyBorder="1" applyAlignment="1">
      <alignment horizontal="center" vertical="center"/>
    </xf>
    <xf numFmtId="0" fontId="4" fillId="4" borderId="14" xfId="0" applyFont="1" applyFill="1" applyBorder="1" applyAlignment="1">
      <alignment horizontal="center" vertical="center" textRotation="255" wrapText="1"/>
    </xf>
    <xf numFmtId="0" fontId="4" fillId="4" borderId="6" xfId="0" applyFont="1" applyFill="1" applyBorder="1" applyAlignment="1">
      <alignment horizontal="center" vertical="center" textRotation="255" wrapText="1"/>
    </xf>
    <xf numFmtId="0" fontId="4" fillId="4" borderId="16" xfId="0" applyFont="1" applyFill="1" applyBorder="1" applyAlignment="1">
      <alignment horizontal="center" vertical="center" textRotation="255" wrapText="1"/>
    </xf>
    <xf numFmtId="0" fontId="4" fillId="4" borderId="12" xfId="0" applyFont="1" applyFill="1" applyBorder="1" applyAlignment="1">
      <alignment horizontal="center" vertical="center" textRotation="255" wrapText="1"/>
    </xf>
    <xf numFmtId="10" fontId="17" fillId="0" borderId="15" xfId="3" applyNumberFormat="1" applyFont="1" applyFill="1" applyBorder="1" applyAlignment="1">
      <alignment horizontal="center" vertical="center"/>
    </xf>
    <xf numFmtId="0" fontId="15" fillId="5" borderId="17" xfId="0" applyFont="1" applyFill="1" applyBorder="1" applyAlignment="1">
      <alignment horizontal="center" vertical="center"/>
    </xf>
    <xf numFmtId="0" fontId="15" fillId="5" borderId="18" xfId="0" applyFont="1" applyFill="1" applyBorder="1" applyAlignment="1">
      <alignment horizontal="center" vertical="center"/>
    </xf>
    <xf numFmtId="0" fontId="15" fillId="5" borderId="19" xfId="0" applyFont="1" applyFill="1" applyBorder="1" applyAlignment="1">
      <alignment horizontal="center" vertical="center"/>
    </xf>
    <xf numFmtId="0" fontId="15" fillId="3" borderId="14" xfId="0" applyFont="1" applyFill="1" applyBorder="1" applyAlignment="1">
      <alignment horizontal="center" vertical="center"/>
    </xf>
    <xf numFmtId="0" fontId="15" fillId="3" borderId="4" xfId="0" applyFont="1" applyFill="1" applyBorder="1" applyAlignment="1">
      <alignment horizontal="center" vertical="center"/>
    </xf>
    <xf numFmtId="41" fontId="0" fillId="2" borderId="4" xfId="1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 textRotation="255" wrapText="1"/>
    </xf>
    <xf numFmtId="10" fontId="7" fillId="2" borderId="4" xfId="3" applyNumberFormat="1" applyFont="1" applyFill="1" applyBorder="1" applyAlignment="1">
      <alignment horizontal="center" vertical="center"/>
    </xf>
    <xf numFmtId="0" fontId="15" fillId="5" borderId="4" xfId="0" applyFont="1" applyFill="1" applyBorder="1" applyAlignment="1">
      <alignment horizontal="center" vertical="center"/>
    </xf>
    <xf numFmtId="10" fontId="17" fillId="0" borderId="4" xfId="3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42" fontId="4" fillId="3" borderId="2" xfId="2" applyFont="1" applyFill="1" applyBorder="1" applyAlignment="1">
      <alignment horizontal="center" vertical="center"/>
    </xf>
    <xf numFmtId="3" fontId="4" fillId="3" borderId="2" xfId="0" applyNumberFormat="1" applyFont="1" applyFill="1" applyBorder="1" applyAlignment="1">
      <alignment horizontal="center" vertical="center"/>
    </xf>
    <xf numFmtId="3" fontId="4" fillId="3" borderId="6" xfId="0" applyNumberFormat="1" applyFont="1" applyFill="1" applyBorder="1" applyAlignment="1">
      <alignment horizontal="center" vertical="center"/>
    </xf>
    <xf numFmtId="176" fontId="4" fillId="3" borderId="3" xfId="3" applyNumberFormat="1" applyFont="1" applyFill="1" applyBorder="1" applyAlignment="1">
      <alignment horizontal="center" vertical="center" wrapText="1"/>
    </xf>
    <xf numFmtId="176" fontId="4" fillId="3" borderId="7" xfId="3" applyNumberFormat="1" applyFont="1" applyFill="1" applyBorder="1" applyAlignment="1">
      <alignment horizontal="center" vertical="center" wrapText="1"/>
    </xf>
  </cellXfs>
  <cellStyles count="5">
    <cellStyle name="백분율" xfId="3" builtinId="5"/>
    <cellStyle name="쉼표 [0]" xfId="1" builtinId="6"/>
    <cellStyle name="통화 [0]" xfId="2" builtinId="7"/>
    <cellStyle name="통화 [0]_특허청" xfId="4" xr:uid="{D3DE316A-2640-4B5C-A422-8447AF7954F1}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BCA2E3-C614-4BCE-86B0-E65B9B312441}">
  <dimension ref="A1:P56"/>
  <sheetViews>
    <sheetView tabSelected="1" topLeftCell="A39" zoomScale="75" zoomScaleNormal="75" workbookViewId="0">
      <selection activeCell="E63" sqref="E63"/>
    </sheetView>
  </sheetViews>
  <sheetFormatPr defaultColWidth="9" defaultRowHeight="17.399999999999999" x14ac:dyDescent="0.4"/>
  <cols>
    <col min="1" max="1" width="7.8984375" customWidth="1"/>
    <col min="2" max="2" width="8.69921875" customWidth="1"/>
    <col min="3" max="3" width="26.09765625" customWidth="1"/>
    <col min="4" max="4" width="18.09765625" customWidth="1"/>
    <col min="5" max="5" width="24.69921875" customWidth="1"/>
    <col min="6" max="6" width="16.09765625" customWidth="1"/>
    <col min="7" max="7" width="7.59765625" customWidth="1"/>
    <col min="8" max="8" width="6.09765625" customWidth="1"/>
    <col min="9" max="9" width="7.59765625" customWidth="1"/>
    <col min="10" max="10" width="7.09765625" customWidth="1"/>
    <col min="11" max="11" width="6.59765625" customWidth="1"/>
    <col min="12" max="12" width="8.69921875" customWidth="1"/>
    <col min="14" max="14" width="17.8984375" customWidth="1"/>
    <col min="15" max="15" width="10.59765625" hidden="1" customWidth="1"/>
    <col min="16" max="16" width="117.59765625" style="1" customWidth="1"/>
  </cols>
  <sheetData>
    <row r="1" spans="1:16" ht="71.25" customHeight="1" x14ac:dyDescent="0.4">
      <c r="A1" s="78" t="s">
        <v>0</v>
      </c>
      <c r="B1" s="79"/>
      <c r="C1" s="79"/>
      <c r="D1" s="79"/>
      <c r="E1" s="79"/>
      <c r="F1" s="79"/>
      <c r="G1" s="79"/>
      <c r="H1" s="79"/>
      <c r="I1" s="79"/>
      <c r="J1" s="79"/>
      <c r="K1" s="79"/>
      <c r="L1" s="79"/>
      <c r="M1" s="79"/>
      <c r="N1" s="79"/>
      <c r="O1" s="79"/>
    </row>
    <row r="2" spans="1:16" ht="18" thickBot="1" x14ac:dyDescent="0.45"/>
    <row r="3" spans="1:16" x14ac:dyDescent="0.4">
      <c r="A3" s="80" t="s">
        <v>1</v>
      </c>
      <c r="B3" s="82" t="s">
        <v>2</v>
      </c>
      <c r="C3" s="82" t="s">
        <v>3</v>
      </c>
      <c r="D3" s="82" t="s">
        <v>4</v>
      </c>
      <c r="E3" s="84" t="s">
        <v>5</v>
      </c>
      <c r="F3" s="84"/>
      <c r="G3" s="84"/>
      <c r="H3" s="84"/>
      <c r="I3" s="84"/>
      <c r="J3" s="84"/>
      <c r="K3" s="84"/>
      <c r="L3" s="84"/>
      <c r="M3" s="84"/>
      <c r="N3" s="85" t="s">
        <v>6</v>
      </c>
      <c r="O3" s="87" t="s">
        <v>7</v>
      </c>
      <c r="P3" s="73"/>
    </row>
    <row r="4" spans="1:16" x14ac:dyDescent="0.4">
      <c r="A4" s="81"/>
      <c r="B4" s="83"/>
      <c r="C4" s="83"/>
      <c r="D4" s="83"/>
      <c r="E4" s="2" t="s">
        <v>8</v>
      </c>
      <c r="F4" s="2" t="s">
        <v>9</v>
      </c>
      <c r="G4" s="2" t="s">
        <v>10</v>
      </c>
      <c r="H4" s="2" t="s">
        <v>11</v>
      </c>
      <c r="I4" s="2" t="s">
        <v>12</v>
      </c>
      <c r="J4" s="2" t="s">
        <v>10</v>
      </c>
      <c r="K4" s="2" t="s">
        <v>11</v>
      </c>
      <c r="L4" s="2" t="s">
        <v>13</v>
      </c>
      <c r="M4" s="2" t="s">
        <v>10</v>
      </c>
      <c r="N4" s="86"/>
      <c r="O4" s="88"/>
      <c r="P4" s="73"/>
    </row>
    <row r="5" spans="1:16" s="9" customFormat="1" ht="35.4" customHeight="1" x14ac:dyDescent="0.4">
      <c r="A5" s="74" t="s">
        <v>14</v>
      </c>
      <c r="B5" s="74" t="s">
        <v>15</v>
      </c>
      <c r="C5" s="3" t="s">
        <v>16</v>
      </c>
      <c r="D5" s="4" t="s">
        <v>17</v>
      </c>
      <c r="E5" s="4" t="s">
        <v>18</v>
      </c>
      <c r="F5" s="5">
        <v>40000</v>
      </c>
      <c r="G5" s="6" t="s">
        <v>19</v>
      </c>
      <c r="H5" s="6" t="s">
        <v>20</v>
      </c>
      <c r="I5" s="5">
        <v>62</v>
      </c>
      <c r="J5" s="4" t="s">
        <v>21</v>
      </c>
      <c r="K5" s="6" t="s">
        <v>20</v>
      </c>
      <c r="L5" s="5">
        <v>8</v>
      </c>
      <c r="M5" s="4" t="s">
        <v>22</v>
      </c>
      <c r="N5" s="7">
        <f t="shared" ref="N5:N32" si="0">F5*I5*L5</f>
        <v>19840000</v>
      </c>
      <c r="O5" s="75">
        <f>N33/N48</f>
        <v>0.85006299874002522</v>
      </c>
      <c r="P5" s="8" t="s">
        <v>23</v>
      </c>
    </row>
    <row r="6" spans="1:16" s="9" customFormat="1" ht="40.049999999999997" customHeight="1" x14ac:dyDescent="0.25">
      <c r="A6" s="74"/>
      <c r="B6" s="74"/>
      <c r="C6" s="3"/>
      <c r="D6" s="4" t="s">
        <v>17</v>
      </c>
      <c r="E6" s="10" t="s">
        <v>24</v>
      </c>
      <c r="F6" s="11">
        <v>30000</v>
      </c>
      <c r="G6" s="6" t="s">
        <v>19</v>
      </c>
      <c r="H6" s="6" t="s">
        <v>20</v>
      </c>
      <c r="I6" s="12">
        <v>1</v>
      </c>
      <c r="J6" s="13" t="s">
        <v>25</v>
      </c>
      <c r="K6" s="6" t="s">
        <v>11</v>
      </c>
      <c r="L6" s="12">
        <v>34</v>
      </c>
      <c r="M6" s="6" t="s">
        <v>26</v>
      </c>
      <c r="N6" s="7">
        <f t="shared" si="0"/>
        <v>1020000</v>
      </c>
      <c r="O6" s="75"/>
      <c r="P6" s="14" t="s">
        <v>27</v>
      </c>
    </row>
    <row r="7" spans="1:16" s="9" customFormat="1" ht="40.049999999999997" customHeight="1" x14ac:dyDescent="0.25">
      <c r="A7" s="74"/>
      <c r="B7" s="74"/>
      <c r="C7" s="3"/>
      <c r="D7" s="4" t="s">
        <v>17</v>
      </c>
      <c r="E7" s="10" t="s">
        <v>28</v>
      </c>
      <c r="F7" s="11">
        <v>210000</v>
      </c>
      <c r="G7" s="6" t="s">
        <v>19</v>
      </c>
      <c r="H7" s="6" t="s">
        <v>20</v>
      </c>
      <c r="I7" s="12">
        <v>1</v>
      </c>
      <c r="J7" s="13" t="s">
        <v>29</v>
      </c>
      <c r="K7" s="6" t="s">
        <v>11</v>
      </c>
      <c r="L7" s="12">
        <v>4</v>
      </c>
      <c r="M7" s="6" t="s">
        <v>26</v>
      </c>
      <c r="N7" s="7">
        <f t="shared" si="0"/>
        <v>840000</v>
      </c>
      <c r="O7" s="75"/>
      <c r="P7" s="15" t="s">
        <v>30</v>
      </c>
    </row>
    <row r="8" spans="1:16" s="9" customFormat="1" ht="40.049999999999997" customHeight="1" x14ac:dyDescent="0.25">
      <c r="A8" s="74"/>
      <c r="B8" s="74"/>
      <c r="C8" s="16"/>
      <c r="D8" s="4" t="s">
        <v>17</v>
      </c>
      <c r="E8" s="10" t="s">
        <v>31</v>
      </c>
      <c r="F8" s="11">
        <v>1155000</v>
      </c>
      <c r="G8" s="6" t="s">
        <v>19</v>
      </c>
      <c r="H8" s="6" t="s">
        <v>20</v>
      </c>
      <c r="I8" s="12">
        <v>1</v>
      </c>
      <c r="J8" s="13" t="s">
        <v>29</v>
      </c>
      <c r="K8" s="6" t="s">
        <v>11</v>
      </c>
      <c r="L8" s="12">
        <v>4</v>
      </c>
      <c r="M8" s="6" t="s">
        <v>26</v>
      </c>
      <c r="N8" s="7">
        <f t="shared" si="0"/>
        <v>4620000</v>
      </c>
      <c r="O8" s="75"/>
      <c r="P8" s="8" t="s">
        <v>32</v>
      </c>
    </row>
    <row r="9" spans="1:16" s="9" customFormat="1" ht="40.049999999999997" customHeight="1" x14ac:dyDescent="0.25">
      <c r="A9" s="74"/>
      <c r="B9" s="74"/>
      <c r="C9" s="16"/>
      <c r="D9" s="4" t="s">
        <v>17</v>
      </c>
      <c r="E9" s="10" t="s">
        <v>33</v>
      </c>
      <c r="F9" s="11">
        <v>230000</v>
      </c>
      <c r="G9" s="6" t="s">
        <v>19</v>
      </c>
      <c r="H9" s="6" t="s">
        <v>20</v>
      </c>
      <c r="I9" s="12">
        <v>1</v>
      </c>
      <c r="J9" s="13" t="s">
        <v>29</v>
      </c>
      <c r="K9" s="6" t="s">
        <v>11</v>
      </c>
      <c r="L9" s="12">
        <v>1</v>
      </c>
      <c r="M9" s="6" t="s">
        <v>26</v>
      </c>
      <c r="N9" s="7">
        <f t="shared" si="0"/>
        <v>230000</v>
      </c>
      <c r="O9" s="75"/>
      <c r="P9" s="8" t="s">
        <v>34</v>
      </c>
    </row>
    <row r="10" spans="1:16" s="9" customFormat="1" ht="40.049999999999997" customHeight="1" x14ac:dyDescent="0.4">
      <c r="A10" s="74"/>
      <c r="B10" s="74"/>
      <c r="C10" s="3" t="s">
        <v>35</v>
      </c>
      <c r="D10" s="17" t="s">
        <v>36</v>
      </c>
      <c r="E10" s="18" t="s">
        <v>37</v>
      </c>
      <c r="F10" s="5">
        <v>55000</v>
      </c>
      <c r="G10" s="6" t="s">
        <v>19</v>
      </c>
      <c r="H10" s="6" t="s">
        <v>20</v>
      </c>
      <c r="I10" s="19">
        <v>186</v>
      </c>
      <c r="J10" s="6" t="s">
        <v>38</v>
      </c>
      <c r="K10" s="6" t="s">
        <v>11</v>
      </c>
      <c r="L10" s="19">
        <v>1</v>
      </c>
      <c r="M10" s="6" t="s">
        <v>26</v>
      </c>
      <c r="N10" s="7">
        <f t="shared" si="0"/>
        <v>10230000</v>
      </c>
      <c r="O10" s="75"/>
      <c r="P10" s="20"/>
    </row>
    <row r="11" spans="1:16" s="9" customFormat="1" ht="40.049999999999997" customHeight="1" x14ac:dyDescent="0.4">
      <c r="A11" s="74"/>
      <c r="B11" s="74"/>
      <c r="C11" s="3"/>
      <c r="D11" s="17" t="s">
        <v>36</v>
      </c>
      <c r="E11" s="21" t="s">
        <v>39</v>
      </c>
      <c r="F11" s="5">
        <v>298000</v>
      </c>
      <c r="G11" s="6" t="s">
        <v>19</v>
      </c>
      <c r="H11" s="6" t="s">
        <v>20</v>
      </c>
      <c r="I11" s="19">
        <v>201</v>
      </c>
      <c r="J11" s="6" t="s">
        <v>38</v>
      </c>
      <c r="K11" s="6" t="s">
        <v>11</v>
      </c>
      <c r="L11" s="19">
        <v>1</v>
      </c>
      <c r="M11" s="6" t="s">
        <v>26</v>
      </c>
      <c r="N11" s="7">
        <f t="shared" si="0"/>
        <v>59898000</v>
      </c>
      <c r="O11" s="75"/>
      <c r="P11" s="20"/>
    </row>
    <row r="12" spans="1:16" s="9" customFormat="1" ht="40.049999999999997" customHeight="1" x14ac:dyDescent="0.4">
      <c r="A12" s="74"/>
      <c r="B12" s="74"/>
      <c r="C12" s="3"/>
      <c r="D12" s="17" t="s">
        <v>36</v>
      </c>
      <c r="E12" s="21" t="s">
        <v>40</v>
      </c>
      <c r="F12" s="5">
        <v>77000</v>
      </c>
      <c r="G12" s="6" t="s">
        <v>19</v>
      </c>
      <c r="H12" s="6" t="s">
        <v>20</v>
      </c>
      <c r="I12" s="19">
        <v>169</v>
      </c>
      <c r="J12" s="6" t="s">
        <v>38</v>
      </c>
      <c r="K12" s="6" t="s">
        <v>11</v>
      </c>
      <c r="L12" s="19">
        <v>1</v>
      </c>
      <c r="M12" s="6" t="s">
        <v>26</v>
      </c>
      <c r="N12" s="7">
        <f t="shared" si="0"/>
        <v>13013000</v>
      </c>
      <c r="O12" s="75"/>
      <c r="P12" s="20"/>
    </row>
    <row r="13" spans="1:16" s="9" customFormat="1" ht="40.049999999999997" customHeight="1" x14ac:dyDescent="0.4">
      <c r="A13" s="74"/>
      <c r="B13" s="74"/>
      <c r="C13" s="3"/>
      <c r="D13" s="17" t="s">
        <v>36</v>
      </c>
      <c r="E13" s="21" t="s">
        <v>41</v>
      </c>
      <c r="F13" s="5">
        <v>298000</v>
      </c>
      <c r="G13" s="6" t="s">
        <v>19</v>
      </c>
      <c r="H13" s="6" t="s">
        <v>20</v>
      </c>
      <c r="I13" s="19">
        <v>218</v>
      </c>
      <c r="J13" s="6" t="s">
        <v>38</v>
      </c>
      <c r="K13" s="6" t="s">
        <v>11</v>
      </c>
      <c r="L13" s="19">
        <v>1</v>
      </c>
      <c r="M13" s="6" t="s">
        <v>26</v>
      </c>
      <c r="N13" s="7">
        <f t="shared" si="0"/>
        <v>64964000</v>
      </c>
      <c r="O13" s="75"/>
      <c r="P13" s="20"/>
    </row>
    <row r="14" spans="1:16" s="9" customFormat="1" ht="40.049999999999997" customHeight="1" x14ac:dyDescent="0.4">
      <c r="A14" s="74"/>
      <c r="B14" s="74"/>
      <c r="C14" s="3"/>
      <c r="D14" s="17" t="s">
        <v>36</v>
      </c>
      <c r="E14" s="21" t="s">
        <v>42</v>
      </c>
      <c r="F14" s="5">
        <v>77000</v>
      </c>
      <c r="G14" s="6" t="s">
        <v>19</v>
      </c>
      <c r="H14" s="6" t="s">
        <v>20</v>
      </c>
      <c r="I14" s="19">
        <v>175</v>
      </c>
      <c r="J14" s="6" t="s">
        <v>38</v>
      </c>
      <c r="K14" s="6" t="s">
        <v>11</v>
      </c>
      <c r="L14" s="19">
        <v>1</v>
      </c>
      <c r="M14" s="6" t="s">
        <v>26</v>
      </c>
      <c r="N14" s="7">
        <f t="shared" si="0"/>
        <v>13475000</v>
      </c>
      <c r="O14" s="75"/>
      <c r="P14" s="20"/>
    </row>
    <row r="15" spans="1:16" s="9" customFormat="1" ht="40.049999999999997" customHeight="1" x14ac:dyDescent="0.4">
      <c r="A15" s="74"/>
      <c r="B15" s="74"/>
      <c r="C15" s="3"/>
      <c r="D15" s="17" t="s">
        <v>36</v>
      </c>
      <c r="E15" s="21" t="s">
        <v>43</v>
      </c>
      <c r="F15" s="5">
        <v>298000</v>
      </c>
      <c r="G15" s="6" t="s">
        <v>19</v>
      </c>
      <c r="H15" s="6" t="s">
        <v>20</v>
      </c>
      <c r="I15" s="19">
        <v>134</v>
      </c>
      <c r="J15" s="6" t="s">
        <v>38</v>
      </c>
      <c r="K15" s="6" t="s">
        <v>11</v>
      </c>
      <c r="L15" s="19">
        <v>1</v>
      </c>
      <c r="M15" s="6" t="s">
        <v>26</v>
      </c>
      <c r="N15" s="7">
        <f t="shared" si="0"/>
        <v>39932000</v>
      </c>
      <c r="O15" s="75"/>
      <c r="P15" s="20"/>
    </row>
    <row r="16" spans="1:16" s="9" customFormat="1" ht="40.049999999999997" customHeight="1" x14ac:dyDescent="0.4">
      <c r="A16" s="74"/>
      <c r="B16" s="74"/>
      <c r="C16" s="3"/>
      <c r="D16" s="17" t="s">
        <v>36</v>
      </c>
      <c r="E16" s="21" t="s">
        <v>44</v>
      </c>
      <c r="F16" s="5">
        <v>298000</v>
      </c>
      <c r="G16" s="6" t="s">
        <v>19</v>
      </c>
      <c r="H16" s="6" t="s">
        <v>20</v>
      </c>
      <c r="I16" s="19">
        <v>108</v>
      </c>
      <c r="J16" s="6" t="s">
        <v>38</v>
      </c>
      <c r="K16" s="6" t="s">
        <v>11</v>
      </c>
      <c r="L16" s="19">
        <v>1</v>
      </c>
      <c r="M16" s="6" t="s">
        <v>26</v>
      </c>
      <c r="N16" s="7">
        <f t="shared" si="0"/>
        <v>32184000</v>
      </c>
      <c r="O16" s="75"/>
      <c r="P16" s="20"/>
    </row>
    <row r="17" spans="1:16" s="9" customFormat="1" ht="40.049999999999997" customHeight="1" x14ac:dyDescent="0.4">
      <c r="A17" s="74"/>
      <c r="B17" s="74"/>
      <c r="C17" s="22"/>
      <c r="D17" s="6" t="s">
        <v>45</v>
      </c>
      <c r="E17" s="18" t="s">
        <v>46</v>
      </c>
      <c r="F17" s="5">
        <v>5751</v>
      </c>
      <c r="G17" s="6" t="s">
        <v>19</v>
      </c>
      <c r="H17" s="6" t="s">
        <v>20</v>
      </c>
      <c r="I17" s="19">
        <v>20</v>
      </c>
      <c r="J17" s="6" t="s">
        <v>38</v>
      </c>
      <c r="K17" s="6" t="s">
        <v>11</v>
      </c>
      <c r="L17" s="19">
        <v>200</v>
      </c>
      <c r="M17" s="6" t="s">
        <v>26</v>
      </c>
      <c r="N17" s="7">
        <f t="shared" si="0"/>
        <v>23004000</v>
      </c>
      <c r="O17" s="75"/>
      <c r="P17" s="20"/>
    </row>
    <row r="18" spans="1:16" s="9" customFormat="1" ht="40.049999999999997" customHeight="1" x14ac:dyDescent="0.4">
      <c r="A18" s="74"/>
      <c r="B18" s="74"/>
      <c r="C18" s="23" t="s">
        <v>47</v>
      </c>
      <c r="D18" s="24"/>
      <c r="E18" s="25"/>
      <c r="F18" s="26"/>
      <c r="G18" s="24" t="s">
        <v>19</v>
      </c>
      <c r="H18" s="24" t="s">
        <v>20</v>
      </c>
      <c r="I18" s="26"/>
      <c r="J18" s="24" t="s">
        <v>48</v>
      </c>
      <c r="K18" s="24" t="s">
        <v>11</v>
      </c>
      <c r="L18" s="26"/>
      <c r="M18" s="24" t="s">
        <v>26</v>
      </c>
      <c r="N18" s="27">
        <f t="shared" si="0"/>
        <v>0</v>
      </c>
      <c r="O18" s="75"/>
      <c r="P18" s="20"/>
    </row>
    <row r="19" spans="1:16" s="9" customFormat="1" ht="40.049999999999997" customHeight="1" x14ac:dyDescent="0.4">
      <c r="A19" s="74"/>
      <c r="B19" s="74"/>
      <c r="C19" s="28" t="s">
        <v>49</v>
      </c>
      <c r="D19" s="6" t="s">
        <v>50</v>
      </c>
      <c r="E19" s="18" t="s">
        <v>51</v>
      </c>
      <c r="F19" s="29">
        <v>100000</v>
      </c>
      <c r="G19" s="30" t="s">
        <v>19</v>
      </c>
      <c r="H19" s="30" t="s">
        <v>20</v>
      </c>
      <c r="I19" s="29">
        <v>8</v>
      </c>
      <c r="J19" s="30" t="s">
        <v>52</v>
      </c>
      <c r="K19" s="30" t="s">
        <v>11</v>
      </c>
      <c r="L19" s="29">
        <v>253</v>
      </c>
      <c r="M19" s="30" t="s">
        <v>26</v>
      </c>
      <c r="N19" s="7">
        <f>F19*I19*L19</f>
        <v>202400000</v>
      </c>
      <c r="O19" s="75"/>
      <c r="P19" s="20"/>
    </row>
    <row r="20" spans="1:16" s="9" customFormat="1" ht="40.049999999999997" customHeight="1" x14ac:dyDescent="0.4">
      <c r="A20" s="74"/>
      <c r="B20" s="74"/>
      <c r="C20" s="16"/>
      <c r="D20" s="6" t="s">
        <v>50</v>
      </c>
      <c r="E20" s="18" t="s">
        <v>53</v>
      </c>
      <c r="F20" s="29">
        <v>60000</v>
      </c>
      <c r="G20" s="30" t="s">
        <v>19</v>
      </c>
      <c r="H20" s="31" t="s">
        <v>11</v>
      </c>
      <c r="I20" s="29">
        <v>8</v>
      </c>
      <c r="J20" s="30" t="s">
        <v>54</v>
      </c>
      <c r="K20" s="30" t="s">
        <v>11</v>
      </c>
      <c r="L20" s="29">
        <v>253</v>
      </c>
      <c r="M20" s="30" t="s">
        <v>26</v>
      </c>
      <c r="N20" s="7">
        <f>F20*I20*L20</f>
        <v>121440000</v>
      </c>
      <c r="O20" s="75"/>
      <c r="P20" s="20"/>
    </row>
    <row r="21" spans="1:16" ht="40.049999999999997" customHeight="1" x14ac:dyDescent="0.4">
      <c r="A21" s="74"/>
      <c r="B21" s="74"/>
      <c r="C21" s="16"/>
      <c r="D21" s="6" t="s">
        <v>55</v>
      </c>
      <c r="E21" s="18" t="s">
        <v>56</v>
      </c>
      <c r="F21" s="29">
        <v>100000</v>
      </c>
      <c r="G21" s="30" t="s">
        <v>19</v>
      </c>
      <c r="H21" s="31" t="s">
        <v>11</v>
      </c>
      <c r="I21" s="29">
        <v>1</v>
      </c>
      <c r="J21" s="30" t="s">
        <v>54</v>
      </c>
      <c r="K21" s="30" t="s">
        <v>11</v>
      </c>
      <c r="L21" s="29">
        <v>291</v>
      </c>
      <c r="M21" s="30" t="s">
        <v>26</v>
      </c>
      <c r="N21" s="7">
        <f>F21*I21*L21</f>
        <v>29100000</v>
      </c>
      <c r="O21" s="75"/>
      <c r="P21" s="8"/>
    </row>
    <row r="22" spans="1:16" ht="40.049999999999997" customHeight="1" x14ac:dyDescent="0.4">
      <c r="A22" s="74"/>
      <c r="B22" s="74"/>
      <c r="C22" s="16"/>
      <c r="D22" s="6" t="s">
        <v>57</v>
      </c>
      <c r="E22" s="21" t="s">
        <v>58</v>
      </c>
      <c r="F22" s="5">
        <v>250000</v>
      </c>
      <c r="G22" s="6" t="s">
        <v>19</v>
      </c>
      <c r="H22" s="6" t="s">
        <v>20</v>
      </c>
      <c r="I22" s="19">
        <v>1</v>
      </c>
      <c r="J22" s="6" t="s">
        <v>54</v>
      </c>
      <c r="K22" s="6" t="s">
        <v>11</v>
      </c>
      <c r="L22" s="19">
        <v>64</v>
      </c>
      <c r="M22" s="6" t="s">
        <v>26</v>
      </c>
      <c r="N22" s="7">
        <f t="shared" si="0"/>
        <v>16000000</v>
      </c>
      <c r="O22" s="75"/>
      <c r="P22" s="8"/>
    </row>
    <row r="23" spans="1:16" ht="40.049999999999997" customHeight="1" x14ac:dyDescent="0.4">
      <c r="A23" s="74"/>
      <c r="B23" s="74"/>
      <c r="C23" s="16"/>
      <c r="D23" s="32" t="s">
        <v>59</v>
      </c>
      <c r="E23" s="33" t="s">
        <v>59</v>
      </c>
      <c r="F23" s="34">
        <v>10000</v>
      </c>
      <c r="G23" s="32" t="s">
        <v>19</v>
      </c>
      <c r="H23" s="32" t="s">
        <v>20</v>
      </c>
      <c r="I23" s="35">
        <v>1</v>
      </c>
      <c r="J23" s="32" t="s">
        <v>54</v>
      </c>
      <c r="K23" s="32" t="s">
        <v>11</v>
      </c>
      <c r="L23" s="35">
        <v>200</v>
      </c>
      <c r="M23" s="32" t="s">
        <v>26</v>
      </c>
      <c r="N23" s="36">
        <f>F23*I23*L23</f>
        <v>2000000</v>
      </c>
      <c r="O23" s="75"/>
      <c r="P23" s="8"/>
    </row>
    <row r="24" spans="1:16" x14ac:dyDescent="0.4">
      <c r="A24" s="74"/>
      <c r="B24" s="74"/>
      <c r="C24" s="28" t="s">
        <v>60</v>
      </c>
      <c r="D24" s="37" t="s">
        <v>61</v>
      </c>
      <c r="E24" s="18" t="s">
        <v>62</v>
      </c>
      <c r="F24" s="34">
        <v>20000</v>
      </c>
      <c r="G24" s="32" t="s">
        <v>19</v>
      </c>
      <c r="H24" s="38" t="s">
        <v>11</v>
      </c>
      <c r="I24" s="35">
        <v>8</v>
      </c>
      <c r="J24" s="32" t="s">
        <v>54</v>
      </c>
      <c r="K24" s="32" t="s">
        <v>11</v>
      </c>
      <c r="L24" s="35">
        <v>160</v>
      </c>
      <c r="M24" s="32" t="s">
        <v>26</v>
      </c>
      <c r="N24" s="36">
        <f>F24*I24*L24</f>
        <v>25600000</v>
      </c>
      <c r="O24" s="75"/>
      <c r="P24" s="8"/>
    </row>
    <row r="25" spans="1:16" x14ac:dyDescent="0.4">
      <c r="A25" s="74"/>
      <c r="B25" s="74"/>
      <c r="C25" s="16"/>
      <c r="D25" s="37"/>
      <c r="E25" s="18" t="s">
        <v>63</v>
      </c>
      <c r="F25" s="39">
        <v>20000</v>
      </c>
      <c r="G25" s="32" t="s">
        <v>19</v>
      </c>
      <c r="H25" s="38" t="s">
        <v>11</v>
      </c>
      <c r="I25" s="35">
        <v>8</v>
      </c>
      <c r="J25" s="32" t="s">
        <v>54</v>
      </c>
      <c r="K25" s="32" t="s">
        <v>11</v>
      </c>
      <c r="L25" s="35">
        <v>160</v>
      </c>
      <c r="M25" s="32" t="s">
        <v>26</v>
      </c>
      <c r="N25" s="36">
        <f t="shared" si="0"/>
        <v>25600000</v>
      </c>
      <c r="O25" s="75"/>
      <c r="P25" s="8"/>
    </row>
    <row r="26" spans="1:16" ht="28.8" x14ac:dyDescent="0.4">
      <c r="A26" s="74"/>
      <c r="B26" s="74"/>
      <c r="C26" s="22" t="s">
        <v>64</v>
      </c>
      <c r="D26" s="37" t="s">
        <v>65</v>
      </c>
      <c r="E26" s="21" t="s">
        <v>66</v>
      </c>
      <c r="F26" s="34">
        <v>25000</v>
      </c>
      <c r="G26" s="32" t="s">
        <v>19</v>
      </c>
      <c r="H26" s="38" t="s">
        <v>11</v>
      </c>
      <c r="I26" s="35">
        <v>40</v>
      </c>
      <c r="J26" s="32" t="s">
        <v>52</v>
      </c>
      <c r="K26" s="32" t="s">
        <v>11</v>
      </c>
      <c r="L26" s="35">
        <v>6</v>
      </c>
      <c r="M26" s="32" t="s">
        <v>26</v>
      </c>
      <c r="N26" s="36">
        <f t="shared" si="0"/>
        <v>6000000</v>
      </c>
      <c r="O26" s="75"/>
      <c r="P26" s="8"/>
    </row>
    <row r="27" spans="1:16" x14ac:dyDescent="0.4">
      <c r="A27" s="74"/>
      <c r="B27" s="74"/>
      <c r="C27" s="22"/>
      <c r="D27" s="37" t="s">
        <v>67</v>
      </c>
      <c r="E27" s="18" t="s">
        <v>68</v>
      </c>
      <c r="F27" s="34">
        <v>10000</v>
      </c>
      <c r="G27" s="32" t="s">
        <v>19</v>
      </c>
      <c r="H27" s="38" t="s">
        <v>11</v>
      </c>
      <c r="I27" s="35">
        <v>22</v>
      </c>
      <c r="J27" s="32" t="s">
        <v>54</v>
      </c>
      <c r="K27" s="32" t="s">
        <v>11</v>
      </c>
      <c r="L27" s="35">
        <v>410</v>
      </c>
      <c r="M27" s="32" t="s">
        <v>26</v>
      </c>
      <c r="N27" s="36">
        <f t="shared" si="0"/>
        <v>90200000</v>
      </c>
      <c r="O27" s="75"/>
      <c r="P27" s="8"/>
    </row>
    <row r="28" spans="1:16" x14ac:dyDescent="0.4">
      <c r="A28" s="74"/>
      <c r="B28" s="74"/>
      <c r="C28" s="28" t="s">
        <v>69</v>
      </c>
      <c r="D28" s="37" t="s">
        <v>70</v>
      </c>
      <c r="E28" s="18" t="s">
        <v>70</v>
      </c>
      <c r="F28" s="34">
        <v>500</v>
      </c>
      <c r="G28" s="32" t="s">
        <v>19</v>
      </c>
      <c r="H28" s="38" t="s">
        <v>11</v>
      </c>
      <c r="I28" s="35">
        <v>20</v>
      </c>
      <c r="J28" s="32" t="s">
        <v>54</v>
      </c>
      <c r="K28" s="32" t="s">
        <v>11</v>
      </c>
      <c r="L28" s="35">
        <v>193</v>
      </c>
      <c r="M28" s="32" t="s">
        <v>26</v>
      </c>
      <c r="N28" s="36">
        <f t="shared" si="0"/>
        <v>1930000</v>
      </c>
      <c r="O28" s="75"/>
      <c r="P28" s="8"/>
    </row>
    <row r="29" spans="1:16" x14ac:dyDescent="0.4">
      <c r="A29" s="74"/>
      <c r="B29" s="74"/>
      <c r="C29" s="22"/>
      <c r="D29" s="32"/>
      <c r="E29" s="40"/>
      <c r="F29" s="34"/>
      <c r="G29" s="35"/>
      <c r="H29" s="32"/>
      <c r="I29" s="35"/>
      <c r="J29" s="35"/>
      <c r="K29" s="35"/>
      <c r="L29" s="35"/>
      <c r="M29" s="35"/>
      <c r="N29" s="36">
        <f t="shared" si="0"/>
        <v>0</v>
      </c>
      <c r="O29" s="75"/>
      <c r="P29" s="8"/>
    </row>
    <row r="30" spans="1:16" x14ac:dyDescent="0.4">
      <c r="A30" s="74"/>
      <c r="B30" s="74"/>
      <c r="C30" s="22" t="s">
        <v>71</v>
      </c>
      <c r="D30" s="37" t="s">
        <v>72</v>
      </c>
      <c r="E30" s="18" t="s">
        <v>73</v>
      </c>
      <c r="F30" s="34">
        <v>10000</v>
      </c>
      <c r="G30" s="32" t="s">
        <v>19</v>
      </c>
      <c r="H30" s="38" t="s">
        <v>11</v>
      </c>
      <c r="I30" s="35">
        <v>32</v>
      </c>
      <c r="J30" s="32" t="s">
        <v>74</v>
      </c>
      <c r="K30" s="32" t="s">
        <v>11</v>
      </c>
      <c r="L30" s="35">
        <v>19</v>
      </c>
      <c r="M30" s="32" t="s">
        <v>26</v>
      </c>
      <c r="N30" s="36">
        <f t="shared" si="0"/>
        <v>6080000</v>
      </c>
      <c r="O30" s="75"/>
      <c r="P30" s="8"/>
    </row>
    <row r="31" spans="1:16" x14ac:dyDescent="0.4">
      <c r="A31" s="74"/>
      <c r="B31" s="74"/>
      <c r="C31" s="16"/>
      <c r="D31" s="32"/>
      <c r="E31" s="41"/>
      <c r="F31" s="34"/>
      <c r="G31" s="32"/>
      <c r="H31" s="38"/>
      <c r="I31" s="35"/>
      <c r="J31" s="32"/>
      <c r="K31" s="32"/>
      <c r="L31" s="35"/>
      <c r="M31" s="32"/>
      <c r="N31" s="36">
        <f t="shared" si="0"/>
        <v>0</v>
      </c>
      <c r="O31" s="75"/>
      <c r="P31" s="8"/>
    </row>
    <row r="32" spans="1:16" x14ac:dyDescent="0.4">
      <c r="A32" s="74"/>
      <c r="B32" s="74"/>
      <c r="C32" s="22" t="s">
        <v>75</v>
      </c>
      <c r="D32" s="32"/>
      <c r="E32" s="41"/>
      <c r="F32" s="34"/>
      <c r="G32" s="32"/>
      <c r="H32" s="38"/>
      <c r="I32" s="35"/>
      <c r="J32" s="32"/>
      <c r="K32" s="32"/>
      <c r="L32" s="35"/>
      <c r="M32" s="32"/>
      <c r="N32" s="42">
        <f t="shared" si="0"/>
        <v>0</v>
      </c>
      <c r="O32" s="75"/>
      <c r="P32" s="8"/>
    </row>
    <row r="33" spans="1:16" x14ac:dyDescent="0.4">
      <c r="A33" s="74"/>
      <c r="B33" s="76" t="s">
        <v>76</v>
      </c>
      <c r="C33" s="76"/>
      <c r="D33" s="76"/>
      <c r="E33" s="76"/>
      <c r="F33" s="76"/>
      <c r="G33" s="76"/>
      <c r="H33" s="76"/>
      <c r="I33" s="76"/>
      <c r="J33" s="76"/>
      <c r="K33" s="76"/>
      <c r="L33" s="76"/>
      <c r="M33" s="76"/>
      <c r="N33" s="43">
        <f>SUM(N5:N32)</f>
        <v>809600000</v>
      </c>
      <c r="O33" s="44"/>
      <c r="P33" s="8"/>
    </row>
    <row r="34" spans="1:16" x14ac:dyDescent="0.4">
      <c r="A34" s="74"/>
      <c r="B34" s="74" t="s">
        <v>77</v>
      </c>
      <c r="C34" s="22" t="s">
        <v>78</v>
      </c>
      <c r="D34" s="32" t="s">
        <v>79</v>
      </c>
      <c r="E34" s="41" t="s">
        <v>80</v>
      </c>
      <c r="F34" s="34">
        <v>4800000</v>
      </c>
      <c r="G34" s="32" t="s">
        <v>19</v>
      </c>
      <c r="H34" s="32" t="s">
        <v>20</v>
      </c>
      <c r="I34" s="45">
        <v>1</v>
      </c>
      <c r="J34" s="32" t="s">
        <v>81</v>
      </c>
      <c r="K34" s="32" t="s">
        <v>11</v>
      </c>
      <c r="L34" s="35">
        <v>7</v>
      </c>
      <c r="M34" s="32" t="s">
        <v>22</v>
      </c>
      <c r="N34" s="42">
        <f>F34*I34*L34</f>
        <v>33600000</v>
      </c>
      <c r="O34" s="77">
        <f>N47/N48</f>
        <v>0.14993700125997481</v>
      </c>
      <c r="P34" s="8"/>
    </row>
    <row r="35" spans="1:16" x14ac:dyDescent="0.4">
      <c r="A35" s="74"/>
      <c r="B35" s="74"/>
      <c r="C35" s="22"/>
      <c r="D35" s="32"/>
      <c r="E35" s="41" t="s">
        <v>82</v>
      </c>
      <c r="F35" s="34">
        <v>3600000</v>
      </c>
      <c r="G35" s="32" t="s">
        <v>19</v>
      </c>
      <c r="H35" s="32" t="s">
        <v>20</v>
      </c>
      <c r="I35" s="45">
        <v>1</v>
      </c>
      <c r="J35" s="32" t="s">
        <v>81</v>
      </c>
      <c r="K35" s="32" t="s">
        <v>11</v>
      </c>
      <c r="L35" s="35">
        <v>8</v>
      </c>
      <c r="M35" s="32" t="s">
        <v>22</v>
      </c>
      <c r="N35" s="42">
        <f t="shared" ref="N35:N39" si="1">F35*I35*L35</f>
        <v>28800000</v>
      </c>
      <c r="O35" s="77"/>
      <c r="P35" s="8" t="s">
        <v>83</v>
      </c>
    </row>
    <row r="36" spans="1:16" x14ac:dyDescent="0.4">
      <c r="A36" s="74"/>
      <c r="B36" s="74"/>
      <c r="C36" s="22"/>
      <c r="D36" s="32"/>
      <c r="E36" s="41" t="s">
        <v>84</v>
      </c>
      <c r="F36" s="34">
        <v>2200000</v>
      </c>
      <c r="G36" s="32" t="s">
        <v>19</v>
      </c>
      <c r="H36" s="32" t="s">
        <v>20</v>
      </c>
      <c r="I36" s="45">
        <v>1</v>
      </c>
      <c r="J36" s="32" t="s">
        <v>81</v>
      </c>
      <c r="K36" s="32" t="s">
        <v>11</v>
      </c>
      <c r="L36" s="35">
        <v>8</v>
      </c>
      <c r="M36" s="32" t="s">
        <v>22</v>
      </c>
      <c r="N36" s="42">
        <f t="shared" si="1"/>
        <v>17600000</v>
      </c>
      <c r="O36" s="77"/>
      <c r="P36" s="8"/>
    </row>
    <row r="37" spans="1:16" x14ac:dyDescent="0.4">
      <c r="A37" s="74"/>
      <c r="B37" s="74"/>
      <c r="C37" s="22"/>
      <c r="D37" s="32"/>
      <c r="E37" s="41" t="s">
        <v>85</v>
      </c>
      <c r="F37" s="34">
        <v>2200000</v>
      </c>
      <c r="G37" s="32" t="s">
        <v>19</v>
      </c>
      <c r="H37" s="32" t="s">
        <v>20</v>
      </c>
      <c r="I37" s="45">
        <v>1</v>
      </c>
      <c r="J37" s="32" t="s">
        <v>81</v>
      </c>
      <c r="K37" s="32" t="s">
        <v>11</v>
      </c>
      <c r="L37" s="35">
        <v>8</v>
      </c>
      <c r="M37" s="32" t="s">
        <v>22</v>
      </c>
      <c r="N37" s="42">
        <f t="shared" si="1"/>
        <v>17600000</v>
      </c>
      <c r="O37" s="77"/>
      <c r="P37" s="8"/>
    </row>
    <row r="38" spans="1:16" x14ac:dyDescent="0.4">
      <c r="A38" s="74"/>
      <c r="B38" s="74"/>
      <c r="C38" s="22"/>
      <c r="D38" s="32"/>
      <c r="E38" s="41" t="s">
        <v>86</v>
      </c>
      <c r="F38" s="34">
        <v>1200000</v>
      </c>
      <c r="G38" s="32" t="s">
        <v>19</v>
      </c>
      <c r="H38" s="32" t="s">
        <v>20</v>
      </c>
      <c r="I38" s="46">
        <v>0.25</v>
      </c>
      <c r="J38" s="32" t="s">
        <v>81</v>
      </c>
      <c r="K38" s="32" t="s">
        <v>11</v>
      </c>
      <c r="L38" s="35">
        <v>8</v>
      </c>
      <c r="M38" s="32" t="s">
        <v>22</v>
      </c>
      <c r="N38" s="42">
        <f t="shared" si="1"/>
        <v>2400000</v>
      </c>
      <c r="O38" s="77"/>
      <c r="P38" s="8"/>
    </row>
    <row r="39" spans="1:16" x14ac:dyDescent="0.4">
      <c r="A39" s="74"/>
      <c r="B39" s="74"/>
      <c r="C39" s="16"/>
      <c r="D39" s="32"/>
      <c r="E39" s="41" t="s">
        <v>86</v>
      </c>
      <c r="F39" s="34">
        <v>1200000</v>
      </c>
      <c r="G39" s="32" t="s">
        <v>19</v>
      </c>
      <c r="H39" s="32" t="s">
        <v>20</v>
      </c>
      <c r="I39" s="45">
        <v>0.5</v>
      </c>
      <c r="J39" s="32" t="s">
        <v>81</v>
      </c>
      <c r="K39" s="32" t="s">
        <v>11</v>
      </c>
      <c r="L39" s="35">
        <v>8</v>
      </c>
      <c r="M39" s="32" t="s">
        <v>22</v>
      </c>
      <c r="N39" s="7">
        <f t="shared" si="1"/>
        <v>4800000</v>
      </c>
      <c r="O39" s="77"/>
      <c r="P39" s="8"/>
    </row>
    <row r="40" spans="1:16" x14ac:dyDescent="0.4">
      <c r="A40" s="74"/>
      <c r="B40" s="74"/>
      <c r="C40" s="16"/>
      <c r="D40" s="32" t="s">
        <v>87</v>
      </c>
      <c r="E40" s="41" t="s">
        <v>88</v>
      </c>
      <c r="F40" s="34">
        <v>800000</v>
      </c>
      <c r="G40" s="32" t="s">
        <v>19</v>
      </c>
      <c r="H40" s="32" t="s">
        <v>20</v>
      </c>
      <c r="I40" s="35">
        <v>1</v>
      </c>
      <c r="J40" s="32" t="s">
        <v>54</v>
      </c>
      <c r="K40" s="32" t="s">
        <v>11</v>
      </c>
      <c r="L40" s="35">
        <v>8</v>
      </c>
      <c r="M40" s="32" t="s">
        <v>22</v>
      </c>
      <c r="N40" s="7">
        <f>F40*I40*L40</f>
        <v>6400000</v>
      </c>
      <c r="O40" s="77"/>
      <c r="P40" s="8"/>
    </row>
    <row r="41" spans="1:16" x14ac:dyDescent="0.4">
      <c r="A41" s="74"/>
      <c r="B41" s="74"/>
      <c r="C41" s="16"/>
      <c r="D41" s="32"/>
      <c r="E41" s="41" t="s">
        <v>88</v>
      </c>
      <c r="F41" s="34">
        <v>100000</v>
      </c>
      <c r="G41" s="32" t="s">
        <v>19</v>
      </c>
      <c r="H41" s="32" t="s">
        <v>20</v>
      </c>
      <c r="I41" s="35">
        <v>1</v>
      </c>
      <c r="J41" s="32" t="s">
        <v>54</v>
      </c>
      <c r="K41" s="32" t="s">
        <v>11</v>
      </c>
      <c r="L41" s="35">
        <v>8</v>
      </c>
      <c r="M41" s="32" t="s">
        <v>22</v>
      </c>
      <c r="N41" s="7">
        <f>F41*I41*L41</f>
        <v>800000</v>
      </c>
      <c r="O41" s="77"/>
      <c r="P41" s="8"/>
    </row>
    <row r="42" spans="1:16" x14ac:dyDescent="0.4">
      <c r="A42" s="74"/>
      <c r="B42" s="74"/>
      <c r="C42" s="22" t="s">
        <v>64</v>
      </c>
      <c r="D42" s="32" t="s">
        <v>89</v>
      </c>
      <c r="E42" s="41" t="s">
        <v>90</v>
      </c>
      <c r="F42" s="34">
        <v>10000</v>
      </c>
      <c r="G42" s="35" t="s">
        <v>19</v>
      </c>
      <c r="H42" s="35" t="s">
        <v>11</v>
      </c>
      <c r="I42" s="35">
        <v>20</v>
      </c>
      <c r="J42" s="35" t="s">
        <v>54</v>
      </c>
      <c r="K42" s="35" t="s">
        <v>11</v>
      </c>
      <c r="L42" s="35">
        <v>80</v>
      </c>
      <c r="M42" s="35" t="s">
        <v>26</v>
      </c>
      <c r="N42" s="7">
        <f>F42*I42*L42</f>
        <v>16000000</v>
      </c>
      <c r="O42" s="77"/>
      <c r="P42" s="8"/>
    </row>
    <row r="43" spans="1:16" x14ac:dyDescent="0.4">
      <c r="A43" s="74"/>
      <c r="B43" s="74"/>
      <c r="C43" s="22" t="s">
        <v>91</v>
      </c>
      <c r="D43" s="32" t="s">
        <v>92</v>
      </c>
      <c r="E43" s="40" t="s">
        <v>93</v>
      </c>
      <c r="F43" s="34">
        <v>10000</v>
      </c>
      <c r="G43" s="35" t="s">
        <v>19</v>
      </c>
      <c r="H43" s="35" t="s">
        <v>11</v>
      </c>
      <c r="I43" s="35">
        <v>3</v>
      </c>
      <c r="J43" s="35" t="s">
        <v>54</v>
      </c>
      <c r="K43" s="35" t="s">
        <v>11</v>
      </c>
      <c r="L43" s="35">
        <v>145</v>
      </c>
      <c r="M43" s="35" t="s">
        <v>26</v>
      </c>
      <c r="N43" s="7">
        <f>F43*I43*L43</f>
        <v>4350000</v>
      </c>
      <c r="O43" s="77"/>
      <c r="P43" s="8"/>
    </row>
    <row r="44" spans="1:16" ht="28.8" x14ac:dyDescent="0.4">
      <c r="A44" s="74"/>
      <c r="B44" s="74"/>
      <c r="C44" s="47" t="s">
        <v>47</v>
      </c>
      <c r="D44" s="32" t="s">
        <v>94</v>
      </c>
      <c r="E44" s="40" t="s">
        <v>95</v>
      </c>
      <c r="F44" s="34">
        <v>50000</v>
      </c>
      <c r="G44" s="35" t="s">
        <v>19</v>
      </c>
      <c r="H44" s="32" t="s">
        <v>20</v>
      </c>
      <c r="I44" s="35">
        <v>10</v>
      </c>
      <c r="J44" s="35" t="s">
        <v>54</v>
      </c>
      <c r="K44" s="32" t="s">
        <v>11</v>
      </c>
      <c r="L44" s="35">
        <v>6</v>
      </c>
      <c r="M44" s="35" t="s">
        <v>26</v>
      </c>
      <c r="N44" s="7">
        <f t="shared" ref="N44:N45" si="2">F44*I44*L44</f>
        <v>3000000</v>
      </c>
      <c r="O44" s="77"/>
      <c r="P44" s="8"/>
    </row>
    <row r="45" spans="1:16" x14ac:dyDescent="0.4">
      <c r="A45" s="74"/>
      <c r="B45" s="74"/>
      <c r="C45" s="28" t="s">
        <v>69</v>
      </c>
      <c r="D45" s="32" t="s">
        <v>96</v>
      </c>
      <c r="E45" s="40" t="s">
        <v>96</v>
      </c>
      <c r="F45" s="34">
        <v>1650000</v>
      </c>
      <c r="G45" s="35" t="s">
        <v>19</v>
      </c>
      <c r="H45" s="32" t="s">
        <v>20</v>
      </c>
      <c r="I45" s="35">
        <v>1</v>
      </c>
      <c r="J45" s="35" t="s">
        <v>97</v>
      </c>
      <c r="K45" s="32" t="s">
        <v>11</v>
      </c>
      <c r="L45" s="35">
        <v>1</v>
      </c>
      <c r="M45" s="35" t="s">
        <v>26</v>
      </c>
      <c r="N45" s="7">
        <f t="shared" si="2"/>
        <v>1650000</v>
      </c>
      <c r="O45" s="77"/>
      <c r="P45" s="8"/>
    </row>
    <row r="46" spans="1:16" x14ac:dyDescent="0.4">
      <c r="A46" s="74"/>
      <c r="B46" s="74"/>
      <c r="C46" s="22" t="s">
        <v>98</v>
      </c>
      <c r="D46" s="32" t="s">
        <v>99</v>
      </c>
      <c r="E46" s="40" t="s">
        <v>100</v>
      </c>
      <c r="F46" s="34">
        <v>200000</v>
      </c>
      <c r="G46" s="35" t="s">
        <v>19</v>
      </c>
      <c r="H46" s="35"/>
      <c r="I46" s="35"/>
      <c r="J46" s="35"/>
      <c r="K46" s="35" t="s">
        <v>11</v>
      </c>
      <c r="L46" s="35">
        <v>29</v>
      </c>
      <c r="M46" s="35" t="s">
        <v>26</v>
      </c>
      <c r="N46" s="7">
        <f>F46*L46</f>
        <v>5800000</v>
      </c>
      <c r="O46" s="77"/>
      <c r="P46" s="8"/>
    </row>
    <row r="47" spans="1:16" x14ac:dyDescent="0.4">
      <c r="A47" s="74"/>
      <c r="B47" s="76" t="s">
        <v>101</v>
      </c>
      <c r="C47" s="76"/>
      <c r="D47" s="76"/>
      <c r="E47" s="76"/>
      <c r="F47" s="76"/>
      <c r="G47" s="76"/>
      <c r="H47" s="76"/>
      <c r="I47" s="76"/>
      <c r="J47" s="76"/>
      <c r="K47" s="76"/>
      <c r="L47" s="76"/>
      <c r="M47" s="76"/>
      <c r="N47" s="43">
        <f>SUM(N34:N46)</f>
        <v>142800000</v>
      </c>
      <c r="O47" s="48"/>
      <c r="P47" s="8"/>
    </row>
    <row r="48" spans="1:16" x14ac:dyDescent="0.4">
      <c r="A48" s="60" t="s">
        <v>102</v>
      </c>
      <c r="B48" s="61"/>
      <c r="C48" s="61"/>
      <c r="D48" s="61"/>
      <c r="E48" s="61"/>
      <c r="F48" s="61"/>
      <c r="G48" s="61"/>
      <c r="H48" s="61"/>
      <c r="I48" s="61"/>
      <c r="J48" s="61"/>
      <c r="K48" s="61"/>
      <c r="L48" s="61"/>
      <c r="M48" s="62"/>
      <c r="N48" s="49">
        <f>N33+N47</f>
        <v>952400000</v>
      </c>
      <c r="O48" s="50"/>
    </row>
    <row r="49" spans="1:15" x14ac:dyDescent="0.4">
      <c r="A49" s="63" t="s">
        <v>103</v>
      </c>
      <c r="B49" s="64" t="s">
        <v>103</v>
      </c>
      <c r="C49" s="22" t="s">
        <v>104</v>
      </c>
      <c r="D49" s="32" t="s">
        <v>105</v>
      </c>
      <c r="E49" s="51" t="s">
        <v>106</v>
      </c>
      <c r="F49" s="52"/>
      <c r="G49" s="51" t="s">
        <v>19</v>
      </c>
      <c r="H49" s="35" t="s">
        <v>11</v>
      </c>
      <c r="I49" s="51">
        <v>1</v>
      </c>
      <c r="J49" s="51" t="s">
        <v>54</v>
      </c>
      <c r="K49" s="35" t="s">
        <v>11</v>
      </c>
      <c r="L49" s="51">
        <v>8</v>
      </c>
      <c r="M49" s="51" t="s">
        <v>22</v>
      </c>
      <c r="N49" s="53">
        <f>F49*I49*L49</f>
        <v>0</v>
      </c>
      <c r="O49" s="67">
        <f>N55/N48</f>
        <v>4.99790004199916E-2</v>
      </c>
    </row>
    <row r="50" spans="1:15" x14ac:dyDescent="0.4">
      <c r="A50" s="63"/>
      <c r="B50" s="65"/>
      <c r="C50" s="54"/>
      <c r="D50" s="32"/>
      <c r="E50" s="51" t="s">
        <v>106</v>
      </c>
      <c r="F50" s="52"/>
      <c r="G50" s="51" t="s">
        <v>19</v>
      </c>
      <c r="H50" s="35" t="s">
        <v>11</v>
      </c>
      <c r="I50" s="51">
        <v>1</v>
      </c>
      <c r="J50" s="51" t="s">
        <v>54</v>
      </c>
      <c r="K50" s="35" t="s">
        <v>11</v>
      </c>
      <c r="L50" s="51">
        <v>8</v>
      </c>
      <c r="M50" s="51" t="s">
        <v>22</v>
      </c>
      <c r="N50" s="53">
        <f t="shared" ref="N50:N54" si="3">F50*I50*L50</f>
        <v>0</v>
      </c>
      <c r="O50" s="67"/>
    </row>
    <row r="51" spans="1:15" x14ac:dyDescent="0.4">
      <c r="A51" s="63"/>
      <c r="B51" s="65"/>
      <c r="C51" s="22" t="s">
        <v>107</v>
      </c>
      <c r="D51" s="32" t="s">
        <v>108</v>
      </c>
      <c r="E51" s="51" t="s">
        <v>108</v>
      </c>
      <c r="F51" s="52">
        <v>5950000</v>
      </c>
      <c r="G51" s="51" t="s">
        <v>19</v>
      </c>
      <c r="H51" s="35" t="s">
        <v>11</v>
      </c>
      <c r="I51" s="51">
        <v>1</v>
      </c>
      <c r="J51" s="51" t="s">
        <v>97</v>
      </c>
      <c r="K51" s="35" t="s">
        <v>11</v>
      </c>
      <c r="L51" s="51">
        <v>8</v>
      </c>
      <c r="M51" s="51" t="s">
        <v>22</v>
      </c>
      <c r="N51" s="55">
        <f t="shared" si="3"/>
        <v>47600000</v>
      </c>
      <c r="O51" s="67"/>
    </row>
    <row r="52" spans="1:15" x14ac:dyDescent="0.4">
      <c r="A52" s="63"/>
      <c r="B52" s="65"/>
      <c r="C52" s="3" t="s">
        <v>109</v>
      </c>
      <c r="D52" s="32" t="s">
        <v>110</v>
      </c>
      <c r="E52" s="51" t="s">
        <v>111</v>
      </c>
      <c r="F52" s="52"/>
      <c r="G52" s="51" t="s">
        <v>19</v>
      </c>
      <c r="H52" s="35" t="s">
        <v>11</v>
      </c>
      <c r="I52" s="51">
        <v>2</v>
      </c>
      <c r="J52" s="51" t="s">
        <v>21</v>
      </c>
      <c r="K52" s="35" t="s">
        <v>11</v>
      </c>
      <c r="L52" s="51">
        <v>2</v>
      </c>
      <c r="M52" s="51" t="s">
        <v>26</v>
      </c>
      <c r="N52" s="53">
        <f t="shared" si="3"/>
        <v>0</v>
      </c>
      <c r="O52" s="67"/>
    </row>
    <row r="53" spans="1:15" x14ac:dyDescent="0.4">
      <c r="A53" s="63"/>
      <c r="B53" s="65"/>
      <c r="C53" s="16"/>
      <c r="D53" s="32" t="s">
        <v>112</v>
      </c>
      <c r="E53" s="51" t="s">
        <v>113</v>
      </c>
      <c r="F53" s="52"/>
      <c r="G53" s="51" t="s">
        <v>19</v>
      </c>
      <c r="H53" s="35" t="s">
        <v>11</v>
      </c>
      <c r="I53" s="51">
        <v>2</v>
      </c>
      <c r="J53" s="51" t="s">
        <v>114</v>
      </c>
      <c r="K53" s="35" t="s">
        <v>11</v>
      </c>
      <c r="L53" s="51">
        <v>2</v>
      </c>
      <c r="M53" s="51" t="s">
        <v>26</v>
      </c>
      <c r="N53" s="53">
        <f t="shared" si="3"/>
        <v>0</v>
      </c>
      <c r="O53" s="67"/>
    </row>
    <row r="54" spans="1:15" x14ac:dyDescent="0.4">
      <c r="A54" s="63"/>
      <c r="B54" s="66"/>
      <c r="C54" s="16"/>
      <c r="D54" s="32" t="s">
        <v>115</v>
      </c>
      <c r="E54" s="51" t="s">
        <v>116</v>
      </c>
      <c r="F54" s="52"/>
      <c r="G54" s="51" t="s">
        <v>19</v>
      </c>
      <c r="H54" s="35" t="s">
        <v>11</v>
      </c>
      <c r="I54" s="51">
        <v>3</v>
      </c>
      <c r="J54" s="51" t="s">
        <v>97</v>
      </c>
      <c r="K54" s="35" t="s">
        <v>11</v>
      </c>
      <c r="L54" s="51">
        <v>4</v>
      </c>
      <c r="M54" s="51" t="s">
        <v>22</v>
      </c>
      <c r="N54" s="53">
        <f t="shared" si="3"/>
        <v>0</v>
      </c>
      <c r="O54" s="67"/>
    </row>
    <row r="55" spans="1:15" x14ac:dyDescent="0.4">
      <c r="A55" s="63"/>
      <c r="B55" s="68" t="s">
        <v>117</v>
      </c>
      <c r="C55" s="69"/>
      <c r="D55" s="69"/>
      <c r="E55" s="69"/>
      <c r="F55" s="69"/>
      <c r="G55" s="69"/>
      <c r="H55" s="69"/>
      <c r="I55" s="69"/>
      <c r="J55" s="69"/>
      <c r="K55" s="69"/>
      <c r="L55" s="69"/>
      <c r="M55" s="70"/>
      <c r="N55" s="56">
        <f>SUM(N49:N54)</f>
        <v>47600000</v>
      </c>
      <c r="O55" s="57"/>
    </row>
    <row r="56" spans="1:15" x14ac:dyDescent="0.4">
      <c r="A56" s="71" t="s">
        <v>118</v>
      </c>
      <c r="B56" s="72"/>
      <c r="C56" s="72"/>
      <c r="D56" s="72"/>
      <c r="E56" s="72"/>
      <c r="F56" s="72"/>
      <c r="G56" s="72"/>
      <c r="H56" s="72"/>
      <c r="I56" s="72"/>
      <c r="J56" s="72"/>
      <c r="K56" s="72"/>
      <c r="L56" s="72"/>
      <c r="M56" s="72"/>
      <c r="N56" s="58">
        <f>N48+N55</f>
        <v>1000000000</v>
      </c>
      <c r="O56" s="59"/>
    </row>
  </sheetData>
  <mergeCells count="22">
    <mergeCell ref="A1:O1"/>
    <mergeCell ref="A3:A4"/>
    <mergeCell ref="B3:B4"/>
    <mergeCell ref="C3:C4"/>
    <mergeCell ref="D3:D4"/>
    <mergeCell ref="E3:M3"/>
    <mergeCell ref="N3:N4"/>
    <mergeCell ref="O3:O4"/>
    <mergeCell ref="A56:M56"/>
    <mergeCell ref="P3:P4"/>
    <mergeCell ref="A5:A47"/>
    <mergeCell ref="B5:B32"/>
    <mergeCell ref="O5:O32"/>
    <mergeCell ref="B33:M33"/>
    <mergeCell ref="B34:B46"/>
    <mergeCell ref="O34:O46"/>
    <mergeCell ref="B47:M47"/>
    <mergeCell ref="A48:M48"/>
    <mergeCell ref="A49:A55"/>
    <mergeCell ref="B49:B54"/>
    <mergeCell ref="O49:O54"/>
    <mergeCell ref="B55:M55"/>
  </mergeCells>
  <phoneticPr fontId="3" type="noConversion"/>
  <dataValidations count="1">
    <dataValidation type="list" allowBlank="1" showErrorMessage="1" errorTitle="유효하지 않은 값입니다." error="단위는 목록에서 선택해 주세요._x000a_직접 입력은 허용되지 않습니다." sqref="J6:J9" xr:uid="{0627F16A-F851-4EBF-8673-4DE8A5998125}">
      <formula1>"명,건,대,세트,부,실,개,회,식"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조성일</dc:creator>
  <cp:lastModifiedBy>조성일</cp:lastModifiedBy>
  <dcterms:created xsi:type="dcterms:W3CDTF">2026-07-01T02:31:23Z</dcterms:created>
  <dcterms:modified xsi:type="dcterms:W3CDTF">2026-07-01T02:32:24Z</dcterms:modified>
</cp:coreProperties>
</file>